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144510/Documents/FermentationTool/"/>
    </mc:Choice>
  </mc:AlternateContent>
  <bookViews>
    <workbookView xWindow="420" yWindow="840" windowWidth="26460" windowHeight="15780" tabRatio="745" activeTab="1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79017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4" i="18" l="1"/>
  <c r="Z15" i="18"/>
  <c r="Z12" i="18"/>
  <c r="Z10" i="18"/>
  <c r="Z4" i="18"/>
  <c r="Z5" i="18"/>
  <c r="Z6" i="18"/>
  <c r="Z7" i="18"/>
  <c r="Z8" i="18"/>
  <c r="Z3" i="18"/>
  <c r="W4" i="18"/>
  <c r="W5" i="18"/>
  <c r="W6" i="18"/>
  <c r="W7" i="18"/>
  <c r="W8" i="18"/>
  <c r="W9" i="18"/>
  <c r="W10" i="18"/>
  <c r="W11" i="18"/>
  <c r="W12" i="18"/>
  <c r="W13" i="18"/>
  <c r="W14" i="18"/>
  <c r="W15" i="18"/>
  <c r="W3" i="18"/>
  <c r="V3" i="18"/>
  <c r="T4" i="18"/>
  <c r="T5" i="18"/>
  <c r="T6" i="18"/>
  <c r="T7" i="18"/>
  <c r="T8" i="18"/>
  <c r="T10" i="18"/>
  <c r="T12" i="18"/>
  <c r="T14" i="18"/>
  <c r="T15" i="18"/>
  <c r="T3" i="18"/>
  <c r="Q4" i="18"/>
  <c r="Q5" i="18"/>
  <c r="Q6" i="18"/>
  <c r="Q7" i="18"/>
  <c r="Q8" i="18"/>
  <c r="Q9" i="18"/>
  <c r="Q10" i="18"/>
  <c r="Q11" i="18"/>
  <c r="Q12" i="18"/>
  <c r="Q13" i="18"/>
  <c r="Q14" i="18"/>
  <c r="Q15" i="18"/>
  <c r="Q3" i="18"/>
  <c r="P4" i="18"/>
  <c r="P5" i="18"/>
  <c r="V5" i="18"/>
  <c r="P6" i="18"/>
  <c r="V6" i="18"/>
  <c r="P7" i="18"/>
  <c r="V7" i="18"/>
  <c r="P8" i="18"/>
  <c r="P9" i="18"/>
  <c r="V9" i="18"/>
  <c r="P10" i="18"/>
  <c r="V10" i="18"/>
  <c r="P11" i="18"/>
  <c r="V11" i="18"/>
  <c r="P12" i="18"/>
  <c r="P13" i="18"/>
  <c r="V13" i="18"/>
  <c r="P14" i="18"/>
  <c r="V14" i="18"/>
  <c r="P15" i="18"/>
  <c r="V15" i="18"/>
  <c r="P3" i="18"/>
  <c r="V4" i="18"/>
  <c r="V8" i="18"/>
  <c r="V12" i="18"/>
  <c r="T27" i="18"/>
  <c r="O20" i="18"/>
  <c r="Y4" i="18"/>
  <c r="Y5" i="18"/>
  <c r="Y6" i="18"/>
  <c r="Y7" i="18"/>
  <c r="Y8" i="18"/>
  <c r="Y9" i="18"/>
  <c r="Y10" i="18"/>
  <c r="Y11" i="18"/>
  <c r="Y12" i="18"/>
  <c r="Y13" i="18"/>
  <c r="Y14" i="18"/>
  <c r="Y15" i="18"/>
  <c r="Y3" i="18"/>
  <c r="X4" i="18"/>
  <c r="X5" i="18"/>
  <c r="X6" i="18"/>
  <c r="X7" i="18"/>
  <c r="X8" i="18"/>
  <c r="X9" i="18"/>
  <c r="X10" i="18"/>
  <c r="X11" i="18"/>
  <c r="X12" i="18"/>
  <c r="X13" i="18"/>
  <c r="X14" i="18"/>
  <c r="X15" i="18"/>
  <c r="X3" i="18"/>
  <c r="AE15" i="18"/>
  <c r="O4" i="18"/>
  <c r="O5" i="18"/>
  <c r="O6" i="18"/>
  <c r="O7" i="18"/>
  <c r="O8" i="18"/>
  <c r="O9" i="18"/>
  <c r="O10" i="18"/>
  <c r="O11" i="18"/>
  <c r="O12" i="18"/>
  <c r="O13" i="18"/>
  <c r="O14" i="18"/>
  <c r="O15" i="18"/>
  <c r="O3" i="18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3" i="17"/>
  <c r="S4" i="18"/>
  <c r="S5" i="18"/>
  <c r="S6" i="18"/>
  <c r="S7" i="18"/>
  <c r="S8" i="18"/>
  <c r="S9" i="18"/>
  <c r="S10" i="18"/>
  <c r="S11" i="18"/>
  <c r="S12" i="18"/>
  <c r="S13" i="18"/>
  <c r="S14" i="18"/>
  <c r="S15" i="18"/>
  <c r="R4" i="18"/>
  <c r="R5" i="18"/>
  <c r="R6" i="18"/>
  <c r="R7" i="18"/>
  <c r="R8" i="18"/>
  <c r="R9" i="18"/>
  <c r="R10" i="18"/>
  <c r="R11" i="18"/>
  <c r="R12" i="18"/>
  <c r="R13" i="18"/>
  <c r="R14" i="18"/>
  <c r="R15" i="18"/>
  <c r="AC8" i="18"/>
  <c r="AC12" i="18"/>
  <c r="S3" i="18"/>
  <c r="R3" i="18"/>
  <c r="AC14" i="18"/>
  <c r="AC9" i="18"/>
  <c r="AC5" i="18"/>
  <c r="AC10" i="18"/>
  <c r="AC13" i="18"/>
  <c r="AC6" i="18"/>
  <c r="AC4" i="18"/>
  <c r="AC15" i="18"/>
  <c r="AF15" i="18"/>
  <c r="AC11" i="18"/>
  <c r="AC7" i="18"/>
  <c r="E4" i="18"/>
  <c r="E5" i="18"/>
  <c r="AE6" i="18"/>
  <c r="AF6" i="18"/>
  <c r="E6" i="18"/>
  <c r="E7" i="18"/>
  <c r="E8" i="18"/>
  <c r="E9" i="18"/>
  <c r="AE10" i="18"/>
  <c r="AF10" i="18"/>
  <c r="E10" i="18"/>
  <c r="E11" i="18"/>
  <c r="E12" i="18"/>
  <c r="E13" i="18"/>
  <c r="AE14" i="18"/>
  <c r="AF14" i="18"/>
  <c r="E14" i="18"/>
  <c r="E15" i="18"/>
  <c r="AB15" i="18"/>
  <c r="AG15" i="18"/>
  <c r="E16" i="18"/>
  <c r="E17" i="18"/>
  <c r="E3" i="18"/>
  <c r="AB12" i="18"/>
  <c r="AE13" i="18"/>
  <c r="AF13" i="18"/>
  <c r="AB8" i="18"/>
  <c r="AE9" i="18"/>
  <c r="AF9" i="18"/>
  <c r="AB4" i="18"/>
  <c r="AE5" i="18"/>
  <c r="AF5" i="18"/>
  <c r="AB11" i="18"/>
  <c r="AE12" i="18"/>
  <c r="AF12" i="18"/>
  <c r="AB7" i="18"/>
  <c r="AE8" i="18"/>
  <c r="AF8" i="18"/>
  <c r="AE11" i="18"/>
  <c r="AF11" i="18"/>
  <c r="AB6" i="18"/>
  <c r="AG6" i="18"/>
  <c r="AE7" i="18"/>
  <c r="AF7" i="18"/>
  <c r="AE4" i="18"/>
  <c r="AF4" i="18"/>
  <c r="AB14" i="18"/>
  <c r="AG14" i="18"/>
  <c r="AB10" i="18"/>
  <c r="AG10" i="18"/>
  <c r="AB13" i="18"/>
  <c r="AB9" i="18"/>
  <c r="AB5" i="18"/>
  <c r="AG5" i="18"/>
  <c r="A12" i="2"/>
  <c r="AG8" i="18"/>
  <c r="AG11" i="18"/>
  <c r="AG9" i="18"/>
  <c r="AG13" i="18"/>
  <c r="AG7" i="18"/>
  <c r="AG12" i="18"/>
  <c r="AG4" i="18"/>
  <c r="B111" i="1"/>
  <c r="A9" i="2"/>
  <c r="B24" i="1"/>
  <c r="B28" i="1"/>
  <c r="B104" i="1"/>
  <c r="D106" i="1"/>
  <c r="B119" i="1"/>
  <c r="B82" i="1"/>
  <c r="A6" i="7"/>
  <c r="A7" i="7"/>
  <c r="B58" i="1"/>
  <c r="A2" i="5"/>
  <c r="A3" i="5"/>
  <c r="B35" i="1"/>
  <c r="D45" i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X65" i="22"/>
  <c r="W60" i="22"/>
  <c r="X60" i="22"/>
  <c r="W61" i="22"/>
  <c r="X61" i="22"/>
  <c r="W62" i="22"/>
  <c r="X62" i="22"/>
  <c r="W63" i="22"/>
  <c r="X63" i="22"/>
  <c r="W64" i="22"/>
  <c r="X64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D95" i="1"/>
  <c r="D71" i="1"/>
  <c r="E119" i="1"/>
  <c r="B113" i="1"/>
  <c r="B39" i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<sst xmlns="http://schemas.openxmlformats.org/spreadsheetml/2006/main" count="596" uniqueCount="325">
  <si>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</si>
  <si>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</si>
  <si>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</si>
  <si>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</si>
  <si>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</si>
  <si>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</si>
  <si>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</si>
  <si>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</si>
  <si>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</si>
  <si>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</si>
  <si>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</si>
  <si>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</si>
  <si>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</si>
  <si>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</si>
  <si>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</si>
  <si>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</si>
  <si>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</si>
  <si>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</si>
  <si>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</si>
  <si>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</si>
  <si>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</si>
  <si>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</si>
  <si>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</si>
  <si>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</si>
  <si>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</si>
  <si>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</si>
  <si>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</si>
  <si>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</si>
  <si>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</si>
  <si>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</si>
  <si>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</si>
  <si>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</si>
  <si>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</si>
  <si>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</si>
  <si>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</si>
  <si>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</si>
  <si>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</si>
  <si>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</si>
  <si>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</si>
  <si>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</si>
  <si>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</si>
  <si>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</si>
  <si>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</si>
  <si>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</si>
  <si>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</si>
  <si>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</si>
  <si>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</si>
  <si>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</si>
  <si>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</si>
  <si>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</si>
  <si>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</si>
  <si>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</si>
  <si>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</si>
  <si>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</si>
  <si>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</si>
  <si>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</si>
  <si>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</si>
  <si>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</si>
  <si>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</si>
  <si>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</si>
  <si>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</si>
  <si>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</si>
  <si>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</si>
  <si>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</si>
  <si>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</si>
  <si>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</si>
  <si>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</si>
  <si>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</si>
  <si>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</si>
  <si>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</si>
  <si>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</si>
  <si>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</si>
  <si>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</si>
  <si>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</si>
  <si>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</si>
  <si>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</si>
  <si>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</si>
  <si>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</si>
  <si>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</si>
  <si>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</si>
  <si>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</si>
  <si>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</si>
  <si>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</si>
  <si>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</si>
  <si>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</si>
  <si>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</si>
  <si>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</si>
  <si>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</si>
  <si>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</si>
  <si>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</si>
  <si>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</si>
  <si>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</si>
  <si>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</si>
  <si>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</si>
  <si>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</si>
  <si>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</si>
  <si>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</si>
  <si>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</si>
  <si>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</si>
  <si>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</si>
  <si>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</si>
  <si>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</si>
  <si>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</si>
  <si>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</si>
  <si>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</si>
  <si>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</si>
  <si>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</si>
  <si>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</si>
  <si>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</si>
  <si>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</si>
  <si>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</si>
  <si>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</si>
  <si>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</si>
  <si>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</si>
  <si>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</si>
  <si>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</si>
  <si>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</si>
  <si>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</si>
  <si>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</si>
  <si>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</si>
  <si>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</si>
  <si>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</si>
  <si>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</si>
  <si>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</si>
  <si>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</si>
  <si>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</si>
  <si>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</si>
  <si>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</si>
  <si>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</si>
  <si>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</si>
  <si>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</si>
  <si>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</si>
  <si>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</si>
  <si>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</si>
  <si>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</si>
  <si>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</si>
  <si>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</si>
  <si>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</si>
  <si>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</si>
  <si>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</si>
  <si>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</si>
  <si>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</si>
  <si>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</si>
  <si>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</si>
  <si>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</si>
  <si>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</si>
  <si>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</si>
  <si>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</si>
  <si>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</si>
  <si>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</si>
  <si>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</si>
  <si>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</si>
  <si>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</si>
  <si>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</si>
  <si>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</si>
  <si>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</si>
  <si>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</si>
  <si>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</si>
  <si>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</si>
  <si>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</si>
  <si>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</si>
  <si>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</si>
  <si>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</si>
  <si>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</si>
  <si>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</si>
  <si>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</si>
  <si>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</si>
  <si>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</si>
  <si>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</si>
  <si>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</si>
  <si>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</si>
  <si>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</si>
  <si>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</si>
  <si>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</si>
  <si>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</si>
  <si>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</si>
  <si>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</si>
  <si>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</si>
  <si>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</si>
  <si>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</si>
  <si>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</si>
  <si>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</si>
  <si>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</si>
  <si>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</si>
  <si>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</si>
  <si>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</si>
  <si>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</si>
  <si>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</si>
  <si>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</si>
  <si>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</si>
  <si>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</si>
  <si>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</si>
  <si>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</si>
  <si>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</si>
  <si>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</si>
  <si>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</si>
  <si>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</si>
  <si>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</si>
  <si>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</si>
  <si>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</si>
  <si>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</si>
  <si>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</si>
  <si>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</si>
  <si>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</si>
  <si>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</si>
  <si>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</si>
  <si>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</si>
  <si>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</si>
  <si>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</si>
  <si>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</si>
  <si>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</si>
  <si>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</si>
  <si>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</si>
  <si>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</si>
  <si>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</si>
  <si>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</si>
  <si>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</si>
  <si>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</si>
  <si>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</si>
  <si>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</si>
  <si>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</si>
  <si>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</si>
  <si>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</si>
  <si>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</si>
  <si>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</si>
  <si>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</si>
  <si>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</si>
  <si>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</si>
  <si>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</si>
  <si>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</si>
  <si>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</si>
  <si>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</si>
  <si>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</si>
  <si>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</si>
  <si>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</si>
  <si>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</si>
  <si>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</si>
  <si>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</si>
  <si>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</si>
  <si>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</si>
  <si>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</si>
  <si>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</si>
  <si>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</si>
  <si>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</si>
  <si>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</si>
  <si>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</si>
  <si>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Sample ID </t>
  </si>
  <si>
    <t xml:space="preserve">Dilution factor </t>
  </si>
  <si>
    <t>OD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</si>
  <si>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</si>
  <si>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</si>
  <si>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</si>
  <si>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</si>
  <si>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</si>
  <si>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</si>
  <si>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</si>
  <si>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</si>
  <si>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</si>
  <si>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Glucose ( g/L)</t>
  </si>
  <si>
    <t>Acetate (g/L)</t>
  </si>
  <si>
    <t>Succinate (g/L)</t>
  </si>
  <si>
    <t>Pyruvate (g/L)</t>
  </si>
  <si>
    <t>Lactate (g/L)</t>
  </si>
  <si>
    <t>Formate (g/L)</t>
  </si>
  <si>
    <t>Ethanol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</si>
  <si>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</si>
  <si>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</si>
  <si>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</si>
  <si>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</si>
  <si>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</si>
  <si>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</si>
  <si>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</si>
  <si>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</si>
  <si>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</si>
  <si>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</si>
  <si>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</si>
  <si>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</si>
  <si>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</si>
  <si>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</si>
  <si>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</si>
  <si>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</si>
  <si>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</si>
  <si>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</si>
  <si>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</si>
  <si>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</si>
  <si>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R1 (ambr)</t>
  </si>
  <si>
    <t>MR</t>
  </si>
  <si>
    <t>PLB004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</si>
  <si>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</si>
  <si>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</si>
  <si>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</si>
  <si>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</si>
  <si>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Induction with IPTG is performed after 3h from the cultivation start</t>
  </si>
  <si>
    <t>Batch cultivation-providing data for kinetic models. Glucose as carbon source ( 15 g/L) and induction after 3h from the start</t>
  </si>
  <si>
    <t>S10</t>
  </si>
  <si>
    <t>S11</t>
  </si>
  <si>
    <t>S12</t>
  </si>
  <si>
    <t>S13</t>
  </si>
  <si>
    <t>S14</t>
  </si>
  <si>
    <t>S15</t>
  </si>
  <si>
    <t>ABS</t>
  </si>
  <si>
    <t>NaN</t>
  </si>
  <si>
    <t>Biomass</t>
  </si>
  <si>
    <t>Glucose</t>
  </si>
  <si>
    <t>Acetate</t>
  </si>
  <si>
    <t>Ethanol</t>
  </si>
  <si>
    <r>
      <t>C-mol-Biomass/m</t>
    </r>
    <r>
      <rPr>
        <b/>
        <vertAlign val="superscript"/>
        <sz val="10"/>
        <rFont val="Arial"/>
        <family val="2"/>
      </rPr>
      <t>3</t>
    </r>
  </si>
  <si>
    <r>
      <t>mol-Glucose/m</t>
    </r>
    <r>
      <rPr>
        <b/>
        <vertAlign val="superscript"/>
        <sz val="10"/>
        <rFont val="Arial"/>
        <family val="2"/>
      </rPr>
      <t>3</t>
    </r>
  </si>
  <si>
    <r>
      <t>mol-Acetate/m</t>
    </r>
    <r>
      <rPr>
        <b/>
        <vertAlign val="superscript"/>
        <sz val="10"/>
        <rFont val="Arial"/>
        <family val="2"/>
      </rPr>
      <t>3</t>
    </r>
  </si>
  <si>
    <r>
      <t>mol-Ethanol/m</t>
    </r>
    <r>
      <rPr>
        <b/>
        <vertAlign val="superscript"/>
        <sz val="10"/>
        <rFont val="Arial"/>
        <family val="2"/>
      </rPr>
      <t>3</t>
    </r>
  </si>
  <si>
    <r>
      <t>mol-Serine/m</t>
    </r>
    <r>
      <rPr>
        <b/>
        <vertAlign val="superscript"/>
        <sz val="10"/>
        <rFont val="Arial"/>
        <family val="2"/>
      </rPr>
      <t>3</t>
    </r>
  </si>
  <si>
    <t>m3</t>
  </si>
  <si>
    <t>Volume</t>
  </si>
  <si>
    <t>C-mol-Biomass</t>
  </si>
  <si>
    <t>mol-Glucose</t>
  </si>
  <si>
    <t>mol-Acetate</t>
  </si>
  <si>
    <t>mol-Ethanol</t>
  </si>
  <si>
    <t>mol-Serine</t>
  </si>
  <si>
    <t>molX/h</t>
  </si>
  <si>
    <t>molGlu/h</t>
  </si>
  <si>
    <t>qs</t>
  </si>
  <si>
    <t>AVERAGE (C-molX)</t>
  </si>
  <si>
    <t>mol-Glu/h/C-molX</t>
  </si>
  <si>
    <t>qx=µ</t>
  </si>
  <si>
    <t>C-molX/h/C-molX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</si>
</sst>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[$-409]d\-mmm\-yy;@"/>
    <numFmt numFmtId="167" formatCode="0.0000"/>
    <numFmt numFmtId="168" formatCode="0.00000"/>
    <numFmt numFmtId="169" formatCode="0.000000"/>
    <numFmt numFmtId="170" formatCode="0.00000000"/>
    <numFmt numFmtId="171" formatCode="0.000000000"/>
    <numFmt numFmtId="172" formatCode="0.0000000"/>
  </numFmts>
  <fonts count="38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  <font>
      <b/>
      <vertAlign val="superscript"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425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2" fontId="0" fillId="19" borderId="0" xfId="0" applyNumberFormat="1" applyFill="1" applyBorder="1" applyAlignment="1">
      <alignment horizontal="center" vertical="center"/>
    </xf>
    <xf numFmtId="1" fontId="0" fillId="19" borderId="0" xfId="0" applyNumberFormat="1" applyFill="1" applyBorder="1" applyAlignment="1">
      <alignment horizontal="center" vertical="center"/>
    </xf>
    <xf numFmtId="165" fontId="0" fillId="19" borderId="0" xfId="0" applyNumberFormat="1" applyFill="1" applyBorder="1" applyAlignment="1" applyProtection="1">
      <alignment horizontal="center" vertical="center"/>
      <protection locked="0"/>
    </xf>
    <xf numFmtId="2" fontId="0" fillId="19" borderId="9" xfId="0" applyNumberFormat="1" applyFill="1" applyBorder="1" applyAlignment="1">
      <alignment horizontal="center" vertical="center"/>
    </xf>
    <xf numFmtId="2" fontId="0" fillId="19" borderId="10" xfId="0" applyNumberFormat="1" applyFill="1" applyBorder="1" applyAlignment="1">
      <alignment horizontal="center" vertical="center"/>
    </xf>
    <xf numFmtId="167" fontId="0" fillId="19" borderId="0" xfId="0" applyNumberFormat="1" applyFill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49" fontId="11" fillId="0" borderId="0" xfId="0" applyNumberFormat="1" applyFon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3" xfId="0" applyFont="1" applyBorder="1" applyAlignment="1" applyProtection="1">
      <alignment horizontal="left" vertical="top" wrapText="1"/>
      <protection locked="0"/>
    </xf>
    <xf numFmtId="166" fontId="6" fillId="0" borderId="4" xfId="0" applyFont="1" applyBorder="1" applyAlignment="1" applyProtection="1">
      <alignment horizontal="left" vertical="top" wrapText="1"/>
      <protection locked="0"/>
    </xf>
    <xf numFmtId="166" fontId="6" fillId="0" borderId="5" xfId="0" applyFont="1" applyBorder="1" applyAlignment="1" applyProtection="1">
      <alignment horizontal="left" vertical="top" wrapText="1"/>
      <protection locked="0"/>
    </xf>
    <xf numFmtId="166" fontId="6" fillId="0" borderId="9" xfId="0" applyFont="1" applyBorder="1" applyAlignment="1" applyProtection="1">
      <alignment horizontal="left" vertical="top" wrapText="1"/>
      <protection locked="0"/>
    </xf>
    <xf numFmtId="166" fontId="6" fillId="0" borderId="0" xfId="0" applyFont="1" applyBorder="1" applyAlignment="1" applyProtection="1">
      <alignment horizontal="left" vertical="top" wrapText="1"/>
      <protection locked="0"/>
    </xf>
    <xf numFmtId="166" fontId="6" fillId="0" borderId="10" xfId="0" applyFont="1" applyBorder="1" applyAlignment="1" applyProtection="1">
      <alignment horizontal="left" vertical="top" wrapText="1"/>
      <protection locked="0"/>
    </xf>
    <xf numFmtId="166" fontId="6" fillId="0" borderId="6" xfId="0" applyFont="1" applyBorder="1" applyAlignment="1" applyProtection="1">
      <alignment horizontal="left" vertical="top" wrapText="1"/>
      <protection locked="0"/>
    </xf>
    <xf numFmtId="166" fontId="6" fillId="0" borderId="7" xfId="0" applyFont="1" applyBorder="1" applyAlignment="1" applyProtection="1">
      <alignment horizontal="left" vertical="top" wrapText="1"/>
      <protection locked="0"/>
    </xf>
    <xf numFmtId="166" fontId="6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ustomXml" Target="../customXml/item1.xml"/><Relationship Id="rId21" Type="http://schemas.openxmlformats.org/officeDocument/2006/relationships/customXml" Target="../customXml/item2.xml"/><Relationship Id="rId22" Type="http://schemas.openxmlformats.org/officeDocument/2006/relationships/customXml" Target="../customXml/item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0497379702537183"/>
                  <c:y val="0.128393482064742"/>
                </c:manualLayout>
              </c:layout>
              <c:numFmt formatCode="#,##0.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Paragondata!$B$6:$B$50</c:f>
              <c:numCache>
                <c:formatCode>0.00</c:formatCode>
                <c:ptCount val="45"/>
                <c:pt idx="0">
                  <c:v>1.5</c:v>
                </c:pt>
                <c:pt idx="1">
                  <c:v>2.0</c:v>
                </c:pt>
                <c:pt idx="2">
                  <c:v>2.5</c:v>
                </c:pt>
                <c:pt idx="3">
                  <c:v>3.0</c:v>
                </c:pt>
                <c:pt idx="4">
                  <c:v>3.5</c:v>
                </c:pt>
                <c:pt idx="5">
                  <c:v>4.0</c:v>
                </c:pt>
                <c:pt idx="6">
                  <c:v>4.5</c:v>
                </c:pt>
                <c:pt idx="7">
                  <c:v>5.0</c:v>
                </c:pt>
                <c:pt idx="8">
                  <c:v>5.5</c:v>
                </c:pt>
                <c:pt idx="9">
                  <c:v>6.0</c:v>
                </c:pt>
                <c:pt idx="10">
                  <c:v>6.5</c:v>
                </c:pt>
                <c:pt idx="11">
                  <c:v>7.0</c:v>
                </c:pt>
                <c:pt idx="12">
                  <c:v>7.5</c:v>
                </c:pt>
                <c:pt idx="13">
                  <c:v>8.0</c:v>
                </c:pt>
                <c:pt idx="14">
                  <c:v>8.5</c:v>
                </c:pt>
                <c:pt idx="15">
                  <c:v>9.0</c:v>
                </c:pt>
                <c:pt idx="16">
                  <c:v>9.5</c:v>
                </c:pt>
                <c:pt idx="17">
                  <c:v>10.0</c:v>
                </c:pt>
                <c:pt idx="18">
                  <c:v>10.5</c:v>
                </c:pt>
                <c:pt idx="19">
                  <c:v>11.0</c:v>
                </c:pt>
                <c:pt idx="20">
                  <c:v>11.5</c:v>
                </c:pt>
                <c:pt idx="21">
                  <c:v>12.0</c:v>
                </c:pt>
                <c:pt idx="22">
                  <c:v>12.5</c:v>
                </c:pt>
                <c:pt idx="23">
                  <c:v>13.0</c:v>
                </c:pt>
                <c:pt idx="24">
                  <c:v>13.5</c:v>
                </c:pt>
                <c:pt idx="25">
                  <c:v>14.0</c:v>
                </c:pt>
                <c:pt idx="26">
                  <c:v>14.5</c:v>
                </c:pt>
                <c:pt idx="27">
                  <c:v>15.0</c:v>
                </c:pt>
                <c:pt idx="28">
                  <c:v>15.5</c:v>
                </c:pt>
                <c:pt idx="29">
                  <c:v>16.0</c:v>
                </c:pt>
                <c:pt idx="30">
                  <c:v>16.5</c:v>
                </c:pt>
                <c:pt idx="31">
                  <c:v>17.0</c:v>
                </c:pt>
                <c:pt idx="32">
                  <c:v>17.5</c:v>
                </c:pt>
                <c:pt idx="33">
                  <c:v>18.0</c:v>
                </c:pt>
                <c:pt idx="34">
                  <c:v>18.5</c:v>
                </c:pt>
                <c:pt idx="35">
                  <c:v>19.0</c:v>
                </c:pt>
                <c:pt idx="36">
                  <c:v>19.5</c:v>
                </c:pt>
                <c:pt idx="37">
                  <c:v>20.0</c:v>
                </c:pt>
                <c:pt idx="38">
                  <c:v>20.5</c:v>
                </c:pt>
                <c:pt idx="39">
                  <c:v>21.0</c:v>
                </c:pt>
                <c:pt idx="40">
                  <c:v>21.5</c:v>
                </c:pt>
                <c:pt idx="41">
                  <c:v>22.0</c:v>
                </c:pt>
                <c:pt idx="42">
                  <c:v>22.5</c:v>
                </c:pt>
                <c:pt idx="43">
                  <c:v>23.0</c:v>
                </c:pt>
                <c:pt idx="44">
                  <c:v>23.5</c:v>
                </c:pt>
              </c:numCache>
            </c:numRef>
          </c:xVal>
          <c:yVal>
            <c:numRef>
              <c:f>Paragondata!$L$6:$L$50</c:f>
              <c:numCache>
                <c:formatCode>0.000000000</c:formatCode>
                <c:ptCount val="45"/>
                <c:pt idx="0">
                  <c:v>0.000103029776153637</c:v>
                </c:pt>
                <c:pt idx="1">
                  <c:v>0.000102875258068059</c:v>
                </c:pt>
                <c:pt idx="2">
                  <c:v>0.00010287370844196</c:v>
                </c:pt>
                <c:pt idx="3">
                  <c:v>0.000100896332943125</c:v>
                </c:pt>
                <c:pt idx="4">
                  <c:v>0.00010064031479833</c:v>
                </c:pt>
                <c:pt idx="5">
                  <c:v>0.000101214890104024</c:v>
                </c:pt>
                <c:pt idx="6">
                  <c:v>9.97851804553263E-5</c:v>
                </c:pt>
                <c:pt idx="7">
                  <c:v>9.94192826874376E-5</c:v>
                </c:pt>
                <c:pt idx="8">
                  <c:v>9.94227145139802E-5</c:v>
                </c:pt>
                <c:pt idx="9">
                  <c:v>9.76856666898979E-5</c:v>
                </c:pt>
                <c:pt idx="10">
                  <c:v>9.71990624936039E-5</c:v>
                </c:pt>
                <c:pt idx="11">
                  <c:v>9.71968850363993E-5</c:v>
                </c:pt>
                <c:pt idx="12">
                  <c:v>9.55770718311628E-5</c:v>
                </c:pt>
                <c:pt idx="13">
                  <c:v>9.49836268902817E-5</c:v>
                </c:pt>
                <c:pt idx="14">
                  <c:v>9.49778902169435E-5</c:v>
                </c:pt>
                <c:pt idx="15">
                  <c:v>9.34751498078766E-5</c:v>
                </c:pt>
                <c:pt idx="16">
                  <c:v>9.27643555841647E-5</c:v>
                </c:pt>
                <c:pt idx="17">
                  <c:v>9.27657373276833E-5</c:v>
                </c:pt>
                <c:pt idx="18">
                  <c:v>9.13924446894976E-5</c:v>
                </c:pt>
                <c:pt idx="19">
                  <c:v>9.05677452363382E-5</c:v>
                </c:pt>
                <c:pt idx="20">
                  <c:v>9.05775013136909E-5</c:v>
                </c:pt>
                <c:pt idx="21">
                  <c:v>8.9326643150994E-5</c:v>
                </c:pt>
                <c:pt idx="22">
                  <c:v>8.83866449304029E-5</c:v>
                </c:pt>
                <c:pt idx="23">
                  <c:v>8.83946326166743E-5</c:v>
                </c:pt>
                <c:pt idx="24">
                  <c:v>8.72501538018837E-5</c:v>
                </c:pt>
                <c:pt idx="25">
                  <c:v>8.62113897415811E-5</c:v>
                </c:pt>
                <c:pt idx="26">
                  <c:v>8.62238646565181E-5</c:v>
                </c:pt>
                <c:pt idx="27">
                  <c:v>8.62400466627928E-5</c:v>
                </c:pt>
                <c:pt idx="28">
                  <c:v>8.52165729950151E-5</c:v>
                </c:pt>
                <c:pt idx="29">
                  <c:v>8.40696779978076E-5</c:v>
                </c:pt>
                <c:pt idx="30">
                  <c:v>8.40922469269197E-5</c:v>
                </c:pt>
                <c:pt idx="31">
                  <c:v>8.41167976706016E-5</c:v>
                </c:pt>
                <c:pt idx="32">
                  <c:v>8.31935957148328E-5</c:v>
                </c:pt>
                <c:pt idx="33">
                  <c:v>8.19572199526355E-5</c:v>
                </c:pt>
                <c:pt idx="34">
                  <c:v>8.19895500128749E-5</c:v>
                </c:pt>
                <c:pt idx="35">
                  <c:v>8.20239458584659E-5</c:v>
                </c:pt>
                <c:pt idx="36">
                  <c:v>8.12111441088097E-5</c:v>
                </c:pt>
                <c:pt idx="37">
                  <c:v>7.98940386684168E-5</c:v>
                </c:pt>
                <c:pt idx="38">
                  <c:v>7.99341963653141E-5</c:v>
                </c:pt>
                <c:pt idx="39">
                  <c:v>7.99774770448328E-5</c:v>
                </c:pt>
                <c:pt idx="40">
                  <c:v>7.99748109257236E-5</c:v>
                </c:pt>
                <c:pt idx="41">
                  <c:v>7.99432842995237E-5</c:v>
                </c:pt>
                <c:pt idx="42">
                  <c:v>7.9825396976975E-5</c:v>
                </c:pt>
                <c:pt idx="43">
                  <c:v>7.76702432478687E-5</c:v>
                </c:pt>
                <c:pt idx="44">
                  <c:v>7.76387175315003E-5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88-E143-9065-79F6D3393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674560"/>
        <c:axId val="-478672240"/>
      </c:scatterChart>
      <c:valAx>
        <c:axId val="-47867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8672240"/>
        <c:crosses val="autoZero"/>
        <c:crossBetween val="midCat"/>
      </c:valAx>
      <c:valAx>
        <c:axId val="-4786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867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measurements'!$M$3:$M$11</c:f>
              <c:numCache>
                <c:formatCode>0.00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0.4</c:v>
                </c:pt>
                <c:pt idx="5">
                  <c:v>0.6</c:v>
                </c:pt>
                <c:pt idx="7">
                  <c:v>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measurements'!$D$3:$D$11</c:f>
              <c:numCache>
                <c:formatCode>0.000</c:formatCode>
                <c:ptCount val="9"/>
                <c:pt idx="0">
                  <c:v>0.275</c:v>
                </c:pt>
                <c:pt idx="1">
                  <c:v>0.072</c:v>
                </c:pt>
                <c:pt idx="2">
                  <c:v>0.091</c:v>
                </c:pt>
                <c:pt idx="3">
                  <c:v>0.164</c:v>
                </c:pt>
                <c:pt idx="4">
                  <c:v>0.203</c:v>
                </c:pt>
                <c:pt idx="5">
                  <c:v>0.252</c:v>
                </c:pt>
                <c:pt idx="6">
                  <c:v>0.281</c:v>
                </c:pt>
                <c:pt idx="7">
                  <c:v>0.33</c:v>
                </c:pt>
                <c:pt idx="8">
                  <c:v>0.384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84710640"/>
        <c:axId val="-484707936"/>
      </c:scatterChart>
      <c:valAx>
        <c:axId val="-484710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4707936"/>
        <c:crosses val="autoZero"/>
        <c:crossBetween val="midCat"/>
      </c:valAx>
      <c:valAx>
        <c:axId val="-4847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471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measurements'!$F$3:$F$9</c:f>
              <c:numCache>
                <c:formatCode>0.00</c:formatCode>
                <c:ptCount val="7"/>
                <c:pt idx="0">
                  <c:v>14.39873731121565</c:v>
                </c:pt>
                <c:pt idx="1">
                  <c:v>14.56041099282001</c:v>
                </c:pt>
                <c:pt idx="2">
                  <c:v>14.03416687298836</c:v>
                </c:pt>
                <c:pt idx="3">
                  <c:v>13.5099034414459</c:v>
                </c:pt>
                <c:pt idx="4">
                  <c:v>11.9400841792523</c:v>
                </c:pt>
                <c:pt idx="5">
                  <c:v>11.38524387224561</c:v>
                </c:pt>
                <c:pt idx="6">
                  <c:v>10.99863827680119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805552"/>
        <c:axId val="-478976688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83"/>
                <c:pt idx="0">
                  <c:v>Fermentation time</c:v>
                </c:pt>
                <c:pt idx="1">
                  <c:v>[h]</c:v>
                </c:pt>
                <c:pt idx="2">
                  <c:v>0,00</c:v>
                </c:pt>
                <c:pt idx="3">
                  <c:v>0,50</c:v>
                </c:pt>
                <c:pt idx="4">
                  <c:v>1,00</c:v>
                </c:pt>
                <c:pt idx="5">
                  <c:v>1,50</c:v>
                </c:pt>
                <c:pt idx="6">
                  <c:v>2,00</c:v>
                </c:pt>
                <c:pt idx="7">
                  <c:v>2,50</c:v>
                </c:pt>
                <c:pt idx="8">
                  <c:v>3,00</c:v>
                </c:pt>
                <c:pt idx="9">
                  <c:v>3,50</c:v>
                </c:pt>
                <c:pt idx="10">
                  <c:v>4,00</c:v>
                </c:pt>
                <c:pt idx="11">
                  <c:v>4,50</c:v>
                </c:pt>
                <c:pt idx="12">
                  <c:v>5,00</c:v>
                </c:pt>
                <c:pt idx="13">
                  <c:v>5,50</c:v>
                </c:pt>
                <c:pt idx="14">
                  <c:v>6,00</c:v>
                </c:pt>
                <c:pt idx="15">
                  <c:v>6,50</c:v>
                </c:pt>
                <c:pt idx="16">
                  <c:v>7,00</c:v>
                </c:pt>
                <c:pt idx="17">
                  <c:v>7,50</c:v>
                </c:pt>
                <c:pt idx="18">
                  <c:v>8,00</c:v>
                </c:pt>
                <c:pt idx="19">
                  <c:v>8,50</c:v>
                </c:pt>
                <c:pt idx="20">
                  <c:v>9,00</c:v>
                </c:pt>
                <c:pt idx="21">
                  <c:v>9,50</c:v>
                </c:pt>
                <c:pt idx="22">
                  <c:v>10,00</c:v>
                </c:pt>
                <c:pt idx="23">
                  <c:v>10,50</c:v>
                </c:pt>
                <c:pt idx="24">
                  <c:v>11,00</c:v>
                </c:pt>
                <c:pt idx="25">
                  <c:v>11,50</c:v>
                </c:pt>
                <c:pt idx="26">
                  <c:v>12,00</c:v>
                </c:pt>
                <c:pt idx="27">
                  <c:v>12,50</c:v>
                </c:pt>
                <c:pt idx="28">
                  <c:v>13,00</c:v>
                </c:pt>
                <c:pt idx="29">
                  <c:v>13,50</c:v>
                </c:pt>
                <c:pt idx="30">
                  <c:v>14,00</c:v>
                </c:pt>
                <c:pt idx="31">
                  <c:v>14,50</c:v>
                </c:pt>
                <c:pt idx="32">
                  <c:v>15,00</c:v>
                </c:pt>
                <c:pt idx="33">
                  <c:v>15,50</c:v>
                </c:pt>
                <c:pt idx="34">
                  <c:v>16,00</c:v>
                </c:pt>
                <c:pt idx="35">
                  <c:v>16,50</c:v>
                </c:pt>
                <c:pt idx="36">
                  <c:v>17,00</c:v>
                </c:pt>
                <c:pt idx="37">
                  <c:v>17,50</c:v>
                </c:pt>
                <c:pt idx="38">
                  <c:v>18,00</c:v>
                </c:pt>
                <c:pt idx="39">
                  <c:v>18,50</c:v>
                </c:pt>
                <c:pt idx="40">
                  <c:v>19,00</c:v>
                </c:pt>
                <c:pt idx="41">
                  <c:v>19,50</c:v>
                </c:pt>
                <c:pt idx="42">
                  <c:v>20,00</c:v>
                </c:pt>
                <c:pt idx="43">
                  <c:v>20,50</c:v>
                </c:pt>
                <c:pt idx="44">
                  <c:v>21,00</c:v>
                </c:pt>
                <c:pt idx="45">
                  <c:v>21,50</c:v>
                </c:pt>
                <c:pt idx="46">
                  <c:v>22,00</c:v>
                </c:pt>
                <c:pt idx="47">
                  <c:v>22,50</c:v>
                </c:pt>
                <c:pt idx="48">
                  <c:v>23,00</c:v>
                </c:pt>
                <c:pt idx="49">
                  <c:v>23,50</c:v>
                </c:pt>
                <c:pt idx="50">
                  <c:v>24,00</c:v>
                </c:pt>
                <c:pt idx="51">
                  <c:v>24,50</c:v>
                </c:pt>
                <c:pt idx="52">
                  <c:v>25,00</c:v>
                </c:pt>
                <c:pt idx="53">
                  <c:v>25,50</c:v>
                </c:pt>
                <c:pt idx="54">
                  <c:v>26,00</c:v>
                </c:pt>
                <c:pt idx="55">
                  <c:v>26,50</c:v>
                </c:pt>
                <c:pt idx="56">
                  <c:v>27,00</c:v>
                </c:pt>
                <c:pt idx="57">
                  <c:v>27,50</c:v>
                </c:pt>
                <c:pt idx="58">
                  <c:v>28,00</c:v>
                </c:pt>
                <c:pt idx="59">
                  <c:v>28,50</c:v>
                </c:pt>
                <c:pt idx="60">
                  <c:v>29,00</c:v>
                </c:pt>
                <c:pt idx="61">
                  <c:v>29,50</c:v>
                </c:pt>
                <c:pt idx="62">
                  <c:v>30,00</c:v>
                </c:pt>
                <c:pt idx="63">
                  <c:v>30,50</c:v>
                </c:pt>
                <c:pt idx="64">
                  <c:v>31,00</c:v>
                </c:pt>
                <c:pt idx="65">
                  <c:v>31,50</c:v>
                </c:pt>
                <c:pt idx="66">
                  <c:v>32,00</c:v>
                </c:pt>
                <c:pt idx="67">
                  <c:v>32,50</c:v>
                </c:pt>
                <c:pt idx="68">
                  <c:v>33,00</c:v>
                </c:pt>
                <c:pt idx="69">
                  <c:v>33,50</c:v>
                </c:pt>
                <c:pt idx="70">
                  <c:v>34,00</c:v>
                </c:pt>
                <c:pt idx="71">
                  <c:v>34,50</c:v>
                </c:pt>
                <c:pt idx="72">
                  <c:v>35,00</c:v>
                </c:pt>
                <c:pt idx="73">
                  <c:v>35,50</c:v>
                </c:pt>
                <c:pt idx="74">
                  <c:v>36,00</c:v>
                </c:pt>
                <c:pt idx="75">
                  <c:v>36,50</c:v>
                </c:pt>
                <c:pt idx="76">
                  <c:v>37,00</c:v>
                </c:pt>
                <c:pt idx="77">
                  <c:v>37,50</c:v>
                </c:pt>
                <c:pt idx="78">
                  <c:v>38,00</c:v>
                </c:pt>
                <c:pt idx="79">
                  <c:v>38,50</c:v>
                </c:pt>
                <c:pt idx="80">
                  <c:v>39,00</c:v>
                </c:pt>
                <c:pt idx="81">
                  <c:v>39,50</c:v>
                </c:pt>
                <c:pt idx="82">
                  <c:v>40,00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0.0</c:v>
                </c:pt>
                <c:pt idx="1">
                  <c:v>0.0</c:v>
                </c:pt>
                <c:pt idx="2" formatCode="0.00">
                  <c:v>0.000475103636705099</c:v>
                </c:pt>
                <c:pt idx="3" formatCode="0.00">
                  <c:v>0.00016708422854385</c:v>
                </c:pt>
                <c:pt idx="4" formatCode="0.00">
                  <c:v>0.00576529466406039</c:v>
                </c:pt>
                <c:pt idx="5" formatCode="0.00">
                  <c:v>0.00866515735124417</c:v>
                </c:pt>
                <c:pt idx="6" formatCode="0.00">
                  <c:v>0.0125042279051382</c:v>
                </c:pt>
                <c:pt idx="7" formatCode="0.00">
                  <c:v>0.0195719925850077</c:v>
                </c:pt>
                <c:pt idx="8" formatCode="0.00">
                  <c:v>0.0349257520095728</c:v>
                </c:pt>
                <c:pt idx="9" formatCode="0.00">
                  <c:v>0.0644722633721561</c:v>
                </c:pt>
                <c:pt idx="10" formatCode="0.00">
                  <c:v>0.0936516767648915</c:v>
                </c:pt>
                <c:pt idx="11" formatCode="0.00">
                  <c:v>0.133490041993544</c:v>
                </c:pt>
                <c:pt idx="12" formatCode="0.00">
                  <c:v>0.149509389900005</c:v>
                </c:pt>
                <c:pt idx="13" formatCode="0.00">
                  <c:v>0.165994922894687</c:v>
                </c:pt>
                <c:pt idx="14" formatCode="0.00">
                  <c:v>0.171375725757945</c:v>
                </c:pt>
                <c:pt idx="15" formatCode="0.00">
                  <c:v>0.185262243403653</c:v>
                </c:pt>
                <c:pt idx="16" formatCode="0.00">
                  <c:v>0.168128595333425</c:v>
                </c:pt>
                <c:pt idx="17" formatCode="0.00">
                  <c:v>0.159930405205144</c:v>
                </c:pt>
                <c:pt idx="18" formatCode="0.00">
                  <c:v>0.153936196263253</c:v>
                </c:pt>
                <c:pt idx="19" formatCode="0.00">
                  <c:v>0.153009560372403</c:v>
                </c:pt>
                <c:pt idx="20" formatCode="0.00">
                  <c:v>0.147885711300211</c:v>
                </c:pt>
                <c:pt idx="21" formatCode="0.00">
                  <c:v>0.150432718647767</c:v>
                </c:pt>
                <c:pt idx="22" formatCode="0.00">
                  <c:v>0.158682732702457</c:v>
                </c:pt>
                <c:pt idx="23" formatCode="0.00">
                  <c:v>0.157069147560361</c:v>
                </c:pt>
                <c:pt idx="24" formatCode="0.00">
                  <c:v>0.159319687177898</c:v>
                </c:pt>
                <c:pt idx="25" formatCode="0.00">
                  <c:v>0.169536191053221</c:v>
                </c:pt>
                <c:pt idx="26" formatCode="0.00">
                  <c:v>0.174338756322094</c:v>
                </c:pt>
                <c:pt idx="27" formatCode="0.00">
                  <c:v>0.181961632582897</c:v>
                </c:pt>
                <c:pt idx="28" formatCode="0.00">
                  <c:v>0.189547311084198</c:v>
                </c:pt>
                <c:pt idx="29" formatCode="0.00">
                  <c:v>0.19345658021069</c:v>
                </c:pt>
                <c:pt idx="30" formatCode="0.00">
                  <c:v>0.196027747829093</c:v>
                </c:pt>
                <c:pt idx="31" formatCode="0.00">
                  <c:v>0.207059771968458</c:v>
                </c:pt>
                <c:pt idx="32" formatCode="0.00">
                  <c:v>0.221070326194632</c:v>
                </c:pt>
                <c:pt idx="33" formatCode="0.00">
                  <c:v>0.226732437861505</c:v>
                </c:pt>
                <c:pt idx="34" formatCode="0.00">
                  <c:v>0.237673386916635</c:v>
                </c:pt>
                <c:pt idx="35" formatCode="0.00">
                  <c:v>0.253247409365378</c:v>
                </c:pt>
                <c:pt idx="36" formatCode="0.00">
                  <c:v>0.269201042459058</c:v>
                </c:pt>
                <c:pt idx="37" formatCode="0.00">
                  <c:v>0.29390015862765</c:v>
                </c:pt>
                <c:pt idx="38" formatCode="0.00">
                  <c:v>0.310067965530425</c:v>
                </c:pt>
                <c:pt idx="39" formatCode="0.00">
                  <c:v>0.33282179103644</c:v>
                </c:pt>
                <c:pt idx="40" formatCode="0.00">
                  <c:v>0.365721363510657</c:v>
                </c:pt>
                <c:pt idx="41" formatCode="0.00">
                  <c:v>0.394016867143926</c:v>
                </c:pt>
                <c:pt idx="42" formatCode="0.00">
                  <c:v>0.424383627955607</c:v>
                </c:pt>
                <c:pt idx="43" formatCode="0.00">
                  <c:v>0.475193046816637</c:v>
                </c:pt>
                <c:pt idx="44" formatCode="0.00">
                  <c:v>0.481868139809233</c:v>
                </c:pt>
                <c:pt idx="45" formatCode="0.00">
                  <c:v>0.135794543382343</c:v>
                </c:pt>
                <c:pt idx="46" formatCode="0.00">
                  <c:v>0.0451885670476504</c:v>
                </c:pt>
                <c:pt idx="47" formatCode="0.00">
                  <c:v>0.0243173246985259</c:v>
                </c:pt>
                <c:pt idx="48" formatCode="0.00">
                  <c:v>0.0176364685788496</c:v>
                </c:pt>
                <c:pt idx="49" formatCode="0.00">
                  <c:v>0.0143849012478528</c:v>
                </c:pt>
                <c:pt idx="50" formatCode="0.00">
                  <c:v>0.0136117826501575</c:v>
                </c:pt>
                <c:pt idx="51" formatCode="0.00">
                  <c:v>0.0126085710326476</c:v>
                </c:pt>
                <c:pt idx="52" formatCode="0.00">
                  <c:v>0.0109990004920891</c:v>
                </c:pt>
                <c:pt idx="53" formatCode="0.00">
                  <c:v>0.00990833635656889</c:v>
                </c:pt>
                <c:pt idx="54" formatCode="0.00">
                  <c:v>0.00897329522602312</c:v>
                </c:pt>
                <c:pt idx="55" formatCode="0.00">
                  <c:v>0.00805966748485712</c:v>
                </c:pt>
                <c:pt idx="56" formatCode="0.00">
                  <c:v>0.00800000037997961</c:v>
                </c:pt>
                <c:pt idx="57" formatCode="0.00">
                  <c:v>0.00800000037997961</c:v>
                </c:pt>
                <c:pt idx="58" formatCode="0.00">
                  <c:v>0.00800000037997961</c:v>
                </c:pt>
                <c:pt idx="59" formatCode="0.00">
                  <c:v>0.00801335175862251</c:v>
                </c:pt>
                <c:pt idx="60" formatCode="0.00">
                  <c:v>0.00805356683344322</c:v>
                </c:pt>
                <c:pt idx="61" formatCode="0.00">
                  <c:v>0.00842700941465643</c:v>
                </c:pt>
                <c:pt idx="62" formatCode="0.00">
                  <c:v>0.00879955175878985</c:v>
                </c:pt>
                <c:pt idx="63" formatCode="0.00">
                  <c:v>0.0089933110065916</c:v>
                </c:pt>
                <c:pt idx="64" formatCode="0.00">
                  <c:v>0.00899999961256981</c:v>
                </c:pt>
                <c:pt idx="65" formatCode="0.00">
                  <c:v>0.00899999961256981</c:v>
                </c:pt>
                <c:pt idx="66" formatCode="0.00">
                  <c:v>0.00900727573605984</c:v>
                </c:pt>
                <c:pt idx="67" formatCode="0.00">
                  <c:v>0.00926039413729664</c:v>
                </c:pt>
                <c:pt idx="68" formatCode="0.00">
                  <c:v>0.00958024417489261</c:v>
                </c:pt>
                <c:pt idx="69" formatCode="0.00">
                  <c:v>0.00991974004110477</c:v>
                </c:pt>
                <c:pt idx="70" formatCode="0.00">
                  <c:v>0.00999327171982421</c:v>
                </c:pt>
                <c:pt idx="71" formatCode="0.00">
                  <c:v>0.00999999977648258</c:v>
                </c:pt>
                <c:pt idx="72" formatCode="0.00">
                  <c:v>0.00999999977648258</c:v>
                </c:pt>
                <c:pt idx="73" formatCode="0.00">
                  <c:v>0.00999999977648258</c:v>
                </c:pt>
                <c:pt idx="74" formatCode="0.00">
                  <c:v>0.00999999977648258</c:v>
                </c:pt>
                <c:pt idx="75" formatCode="0.00">
                  <c:v>0.00999999977648258</c:v>
                </c:pt>
                <c:pt idx="76" formatCode="0.00">
                  <c:v>0.0100066750553545</c:v>
                </c:pt>
                <c:pt idx="77" formatCode="0.00">
                  <c:v>0.0100067097775824</c:v>
                </c:pt>
                <c:pt idx="78" formatCode="0.00">
                  <c:v>0.0100066708886872</c:v>
                </c:pt>
                <c:pt idx="79" formatCode="0.00">
                  <c:v>0.00999999977648258</c:v>
                </c:pt>
                <c:pt idx="80" formatCode="0.00">
                  <c:v>0.00999999977648258</c:v>
                </c:pt>
                <c:pt idx="81" formatCode="0.00">
                  <c:v>0.00999999977648258</c:v>
                </c:pt>
                <c:pt idx="82" formatCode="0.00">
                  <c:v>0.0097397268844872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9935760"/>
        <c:axId val="-479937808"/>
      </c:scatterChart>
      <c:valAx>
        <c:axId val="-47880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8976688"/>
        <c:crosses val="autoZero"/>
        <c:crossBetween val="midCat"/>
      </c:valAx>
      <c:valAx>
        <c:axId val="-47897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8805552"/>
        <c:crosses val="autoZero"/>
        <c:crossBetween val="midCat"/>
      </c:valAx>
      <c:valAx>
        <c:axId val="-479937808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9935760"/>
        <c:crosses val="max"/>
        <c:crossBetween val="midCat"/>
      </c:valAx>
      <c:valAx>
        <c:axId val="-479935760"/>
        <c:scaling>
          <c:orientation val="minMax"/>
        </c:scaling>
        <c:delete val="1"/>
        <c:axPos val="b"/>
        <c:majorTickMark val="out"/>
        <c:minorTickMark val="none"/>
        <c:tickLblPos val="nextTo"/>
        <c:crossAx val="-47993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31358</xdr:colOff>
      <xdr:row>13</xdr:row>
      <xdr:rowOff>78395</xdr:rowOff>
    </xdr:from>
    <xdr:to>
      <xdr:col>9</xdr:col>
      <xdr:colOff>517408</xdr:colOff>
      <xdr:row>45</xdr:row>
      <xdr:rowOff>78395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E8A7C61-9104-FD43-A115-836A75C03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4" Type="http://schemas.openxmlformats.org/officeDocument/2006/relationships/queryTable" Target="../queryTables/queryTable3.xml"/><Relationship Id="rId5" Type="http://schemas.openxmlformats.org/officeDocument/2006/relationships/queryTable" Target="../queryTables/queryTable4.xml"/><Relationship Id="rId6" Type="http://schemas.openxmlformats.org/officeDocument/2006/relationships/queryTable" Target="../queryTables/queryTable5.xml"/><Relationship Id="rId7" Type="http://schemas.openxmlformats.org/officeDocument/2006/relationships/queryTable" Target="../queryTables/queryTable6.xml"/><Relationship Id="rId8" Type="http://schemas.openxmlformats.org/officeDocument/2006/relationships/queryTable" Target="../queryTables/queryTable7.xml"/><Relationship Id="rId9" Type="http://schemas.openxmlformats.org/officeDocument/2006/relationships/queryTable" Target="../queryTables/queryTable8.xml"/><Relationship Id="rId10" Type="http://schemas.openxmlformats.org/officeDocument/2006/relationships/queryTable" Target="../queryTables/queryTable9.xml"/><Relationship Id="rId11" Type="http://schemas.openxmlformats.org/officeDocument/2006/relationships/queryTable" Target="../queryTables/queryTable10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Y301"/>
  <sheetViews>
    <sheetView showGridLines="0" zoomScale="90" zoomScaleNormal="90" workbookViewId="0">
      <selection activeCell="E27" sqref="E27"/>
    </sheetView>
  </sheetViews>
  <sheetFormatPr baseColWidth="10" defaultColWidth="9.1640625" defaultRowHeight="16" x14ac:dyDescent="0.2"/>
  <cols>
    <col min="1" max="1" width="23.33203125" style="268" customWidth="1"/>
    <col min="2" max="2" width="28.33203125" style="18" customWidth="1"/>
    <col min="3" max="3" width="16.6640625" style="18" customWidth="1"/>
    <col min="4" max="4" width="18.6640625" style="18" customWidth="1"/>
    <col min="5" max="5" width="55.6640625" style="18" customWidth="1"/>
    <col min="6" max="17" width="9.1640625" style="9"/>
    <col min="18" max="16384" width="9.1640625" style="3"/>
  </cols>
  <sheetData>
    <row r="1" spans="1:17" ht="15.75" customHeight="1" x14ac:dyDescent="0.2"/>
    <row r="2" spans="1:17" ht="15.75" customHeight="1" x14ac:dyDescent="0.2">
      <c r="A2" s="265" t="s">
        <v>17</v>
      </c>
      <c r="B2" s="276" t="s">
        <v>283</v>
      </c>
    </row>
    <row r="3" spans="1:17" ht="15.75" customHeight="1" x14ac:dyDescent="0.2"/>
    <row r="4" spans="1:17" ht="15.75" customHeight="1" x14ac:dyDescent="0.2"/>
    <row r="5" spans="1:17" ht="21.75" customHeight="1" x14ac:dyDescent="0.25">
      <c r="A5" s="269" t="s">
        <v>5</v>
      </c>
      <c r="B5" s="277" t="s">
        <v>284</v>
      </c>
    </row>
    <row r="6" spans="1:17" ht="15.75" customHeight="1" x14ac:dyDescent="0.2"/>
    <row r="7" spans="1:17" ht="15.75" customHeight="1" x14ac:dyDescent="0.25">
      <c r="A7" s="265" t="s">
        <v>191</v>
      </c>
      <c r="B7" s="278" t="s">
        <v>285</v>
      </c>
      <c r="C7" s="19" t="s">
        <v>6</v>
      </c>
      <c r="D7" s="301" t="s">
        <v>286</v>
      </c>
      <c r="E7" s="11"/>
    </row>
    <row r="8" spans="1:17" ht="15.75" customHeight="1" x14ac:dyDescent="0.2">
      <c r="A8" s="265" t="s">
        <v>18</v>
      </c>
      <c r="B8" s="333">
        <v>20</v>
      </c>
      <c r="C8" s="20" t="s">
        <v>7</v>
      </c>
      <c r="D8" s="422" t="s">
        <v>199</v>
      </c>
      <c r="E8" s="422"/>
    </row>
    <row r="9" spans="1:17" ht="15.75" customHeight="1" x14ac:dyDescent="0.2">
      <c r="A9" s="265" t="s">
        <v>19</v>
      </c>
      <c r="B9" s="412" t="s">
        <v>71</v>
      </c>
      <c r="C9" s="412"/>
      <c r="D9" s="422"/>
      <c r="E9" s="422"/>
    </row>
    <row r="10" spans="1:17" ht="15.75" customHeight="1" thickBot="1" x14ac:dyDescent="0.25">
      <c r="A10" s="265"/>
      <c r="B10" s="264"/>
      <c r="C10" s="264"/>
      <c r="D10" s="422"/>
      <c r="E10" s="422"/>
    </row>
    <row r="11" spans="1:17" s="292" customFormat="1" ht="22.5" customHeight="1" thickTop="1" thickBot="1" x14ac:dyDescent="0.25">
      <c r="A11" s="269" t="s">
        <v>30</v>
      </c>
      <c r="B11" s="294" t="s">
        <v>287</v>
      </c>
      <c r="C11" s="290"/>
      <c r="D11" s="422"/>
      <c r="E11" s="422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25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2">
      <c r="A13" s="265" t="s">
        <v>23</v>
      </c>
      <c r="B13" s="392" t="s">
        <v>245</v>
      </c>
      <c r="C13" s="393"/>
      <c r="D13" s="393"/>
      <c r="E13" s="394"/>
    </row>
    <row r="14" spans="1:17" ht="15.75" customHeight="1" x14ac:dyDescent="0.2">
      <c r="A14" s="270"/>
      <c r="B14" s="398"/>
      <c r="C14" s="399"/>
      <c r="D14" s="399"/>
      <c r="E14" s="400"/>
    </row>
    <row r="15" spans="1:17" ht="15.75" customHeight="1" x14ac:dyDescent="0.2">
      <c r="C15" s="22"/>
      <c r="E15" s="22"/>
    </row>
    <row r="16" spans="1:17" ht="15.75" customHeight="1" x14ac:dyDescent="0.2">
      <c r="A16" s="269" t="s">
        <v>59</v>
      </c>
      <c r="B16" s="413" t="s">
        <v>293</v>
      </c>
      <c r="C16" s="414"/>
      <c r="D16" s="414"/>
      <c r="E16" s="415"/>
    </row>
    <row r="17" spans="1:11" ht="15.75" customHeight="1" x14ac:dyDescent="0.2">
      <c r="A17" s="269"/>
      <c r="B17" s="416"/>
      <c r="C17" s="417"/>
      <c r="D17" s="417"/>
      <c r="E17" s="418"/>
    </row>
    <row r="18" spans="1:11" ht="15.75" customHeight="1" x14ac:dyDescent="0.2">
      <c r="B18" s="419"/>
      <c r="C18" s="420"/>
      <c r="D18" s="420"/>
      <c r="E18" s="421"/>
    </row>
    <row r="19" spans="1:11" ht="15.75" customHeight="1" x14ac:dyDescent="0.2"/>
    <row r="20" spans="1:11" ht="15.75" customHeight="1" x14ac:dyDescent="0.2">
      <c r="A20" s="269" t="s">
        <v>8</v>
      </c>
      <c r="B20" s="392"/>
      <c r="C20" s="393"/>
      <c r="D20" s="393"/>
      <c r="E20" s="394"/>
    </row>
    <row r="21" spans="1:11" ht="15.75" customHeight="1" x14ac:dyDescent="0.2">
      <c r="A21" s="269"/>
      <c r="B21" s="398"/>
      <c r="C21" s="399"/>
      <c r="D21" s="399"/>
      <c r="E21" s="400"/>
    </row>
    <row r="22" spans="1:11" ht="15.75" customHeight="1" x14ac:dyDescent="0.2"/>
    <row r="23" spans="1:11" ht="15.75" customHeight="1" thickBot="1" x14ac:dyDescent="0.35">
      <c r="A23" s="270"/>
      <c r="B23" s="17"/>
      <c r="C23" s="24"/>
      <c r="D23" s="23"/>
      <c r="E23" s="23"/>
    </row>
    <row r="24" spans="1:11" ht="15.75" customHeight="1" thickTop="1" thickBot="1" x14ac:dyDescent="0.25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2">
      <c r="A25" s="265"/>
      <c r="B25" s="25"/>
      <c r="C25" s="23"/>
      <c r="D25" s="23"/>
      <c r="E25" s="23"/>
    </row>
    <row r="26" spans="1:11" ht="15.75" customHeight="1" x14ac:dyDescent="0.2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2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2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2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2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2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2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25">
      <c r="B34" s="28"/>
      <c r="C34" s="28"/>
      <c r="D34" s="28"/>
    </row>
    <row r="35" spans="1:7" ht="30.75" customHeight="1" thickTop="1" x14ac:dyDescent="0.2">
      <c r="A35" s="265" t="s">
        <v>195</v>
      </c>
      <c r="B35" s="296" t="str">
        <f>LOOKUP($B$11,Protocols!A:A,Protocols!H:H)</f>
        <v>SM001</v>
      </c>
      <c r="C35" s="297"/>
      <c r="D35" s="401"/>
    </row>
    <row r="36" spans="1:7" ht="15.75" customHeight="1" thickBot="1" x14ac:dyDescent="0.25">
      <c r="B36" s="298" t="s">
        <v>2</v>
      </c>
      <c r="C36" s="299" t="s">
        <v>10</v>
      </c>
      <c r="D36" s="402"/>
    </row>
    <row r="37" spans="1:7" ht="15.75" customHeight="1" thickTop="1" x14ac:dyDescent="0.2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2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2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2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25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2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2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2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2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2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2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2">
      <c r="B48" s="3"/>
      <c r="C48" s="3"/>
      <c r="D48" s="3"/>
      <c r="E48" s="21"/>
    </row>
    <row r="49" spans="1:15" ht="15.75" customHeight="1" x14ac:dyDescent="0.2">
      <c r="B49" s="41"/>
      <c r="C49" s="52"/>
      <c r="D49" s="53"/>
      <c r="E49" s="21"/>
    </row>
    <row r="50" spans="1:15" ht="15.75" customHeight="1" x14ac:dyDescent="0.2">
      <c r="A50" s="265" t="s">
        <v>9</v>
      </c>
      <c r="B50" s="392" t="s">
        <v>222</v>
      </c>
      <c r="C50" s="393"/>
      <c r="D50" s="393"/>
      <c r="E50" s="394"/>
      <c r="G50" s="355" t="s">
        <v>288</v>
      </c>
      <c r="H50" s="356"/>
      <c r="I50" s="356"/>
      <c r="J50" s="356"/>
      <c r="K50" s="356"/>
      <c r="L50" s="356"/>
      <c r="M50" s="356"/>
      <c r="N50" s="356"/>
      <c r="O50" s="357"/>
    </row>
    <row r="51" spans="1:15" ht="15.75" customHeight="1" x14ac:dyDescent="0.2">
      <c r="A51" s="265"/>
      <c r="B51" s="395"/>
      <c r="C51" s="396"/>
      <c r="D51" s="396"/>
      <c r="E51" s="397"/>
      <c r="G51" s="358" t="s">
        <v>289</v>
      </c>
      <c r="H51" s="359"/>
      <c r="I51" s="359"/>
      <c r="J51" s="359"/>
      <c r="K51" s="359"/>
      <c r="L51" s="359"/>
      <c r="M51" s="359"/>
      <c r="N51" s="359"/>
      <c r="O51" s="360"/>
    </row>
    <row r="52" spans="1:15" ht="15.75" customHeight="1" x14ac:dyDescent="0.2">
      <c r="A52" s="265"/>
      <c r="B52" s="398"/>
      <c r="C52" s="399"/>
      <c r="D52" s="399"/>
      <c r="E52" s="400"/>
      <c r="G52" s="361"/>
      <c r="H52" s="362"/>
      <c r="I52" s="362"/>
      <c r="J52" s="362"/>
      <c r="K52" s="362"/>
      <c r="L52" s="362"/>
      <c r="M52" s="362"/>
      <c r="N52" s="362"/>
      <c r="O52" s="363"/>
    </row>
    <row r="53" spans="1:15" ht="15.75" customHeight="1" x14ac:dyDescent="0.2">
      <c r="B53" s="41"/>
      <c r="C53" s="52"/>
      <c r="D53" s="53"/>
      <c r="E53" s="21"/>
    </row>
    <row r="54" spans="1:15" ht="15.75" customHeight="1" x14ac:dyDescent="0.2">
      <c r="A54" s="265" t="s">
        <v>11</v>
      </c>
      <c r="B54" s="26" t="s">
        <v>290</v>
      </c>
      <c r="C54" s="52"/>
      <c r="D54" s="53"/>
      <c r="E54" s="21"/>
    </row>
    <row r="55" spans="1:15" ht="15.75" customHeight="1" x14ac:dyDescent="0.2">
      <c r="B55" s="41"/>
      <c r="C55" s="52"/>
      <c r="D55" s="53"/>
      <c r="E55" s="21"/>
    </row>
    <row r="56" spans="1:15" ht="15.75" customHeight="1" x14ac:dyDescent="0.2">
      <c r="B56" s="10"/>
      <c r="C56" s="29"/>
      <c r="D56" s="21"/>
      <c r="E56" s="21"/>
    </row>
    <row r="57" spans="1:15" ht="17" thickBot="1" x14ac:dyDescent="0.25">
      <c r="B57" s="37"/>
      <c r="C57" s="37"/>
      <c r="D57" s="37"/>
      <c r="E57" s="44"/>
    </row>
    <row r="58" spans="1:15" ht="15.75" customHeight="1" thickTop="1" x14ac:dyDescent="0.2">
      <c r="A58" s="265" t="s">
        <v>194</v>
      </c>
      <c r="B58" s="296" t="str">
        <f>LOOKUP($B$11,Protocols!A:A,Protocols!B:B)</f>
        <v>TM002</v>
      </c>
      <c r="C58" s="296"/>
      <c r="D58" s="296"/>
    </row>
    <row r="59" spans="1:15" ht="15.75" customHeight="1" thickBot="1" x14ac:dyDescent="0.25">
      <c r="B59" s="298" t="s">
        <v>2</v>
      </c>
      <c r="C59" s="299" t="s">
        <v>10</v>
      </c>
      <c r="D59" s="300"/>
    </row>
    <row r="60" spans="1:15" ht="15.75" customHeight="1" thickTop="1" x14ac:dyDescent="0.2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2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2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2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2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2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2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2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2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2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2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2">
      <c r="B71" s="10" t="str">
        <f>IF(LOOKUP($B$58,Tankmedia!$A:$A,Tankmedia!M:M)=0,"",LOOKUP($B$58,Tankmedia!$A:$A,Tankmedia!M:M))</f>
        <v>IPTG</v>
      </c>
      <c r="C71" s="29">
        <f>IF(LOOKUP(CONCATENATE($B$58,"conc"),Tankmedia!$A:$A,Tankmedia!M:M)=0,"",LOOKUP(CONCATENATE($B$58,"conc"),Tankmedia!$A:$A,Tankmedia!M:M))</f>
        <v>10</v>
      </c>
      <c r="D71" s="21" t="str">
        <f>IF(LOOKUP(CONCATENATE($B$58,"unit"),Tankmedia!$A:$A,Tankmedia!M:M)=0,"",LOOKUP(CONCATENATE($B$58,"unit"),Tankmedia!$A:$A,Tankmedia!M:M))</f>
        <v>mM</v>
      </c>
      <c r="E71" s="21"/>
    </row>
    <row r="72" spans="1:17" ht="15.75" customHeight="1" x14ac:dyDescent="0.2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2">
      <c r="B73" s="41"/>
      <c r="C73" s="29"/>
      <c r="D73" s="53"/>
      <c r="E73" s="21"/>
    </row>
    <row r="74" spans="1:17" ht="15.75" customHeight="1" x14ac:dyDescent="0.2">
      <c r="B74" s="10"/>
      <c r="C74" s="29"/>
      <c r="D74" s="21"/>
      <c r="E74" s="21"/>
    </row>
    <row r="75" spans="1:17" s="267" customFormat="1" ht="30" customHeight="1" x14ac:dyDescent="0.2">
      <c r="A75" s="265" t="s">
        <v>196</v>
      </c>
      <c r="B75" s="403" t="s">
        <v>291</v>
      </c>
      <c r="C75" s="404"/>
      <c r="D75" s="404"/>
      <c r="E75" s="405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2">
      <c r="B76" s="406"/>
      <c r="C76" s="407"/>
      <c r="D76" s="407"/>
      <c r="E76" s="408"/>
    </row>
    <row r="77" spans="1:17" x14ac:dyDescent="0.2">
      <c r="B77" s="409"/>
      <c r="C77" s="410"/>
      <c r="D77" s="410"/>
      <c r="E77" s="411"/>
    </row>
    <row r="78" spans="1:17" x14ac:dyDescent="0.2">
      <c r="B78" s="37"/>
      <c r="C78" s="37"/>
      <c r="D78" s="37"/>
      <c r="E78" s="44"/>
    </row>
    <row r="79" spans="1:17" x14ac:dyDescent="0.2">
      <c r="B79" s="37"/>
      <c r="C79" s="37"/>
      <c r="D79" s="37"/>
    </row>
    <row r="81" spans="1:7" ht="15" thickBot="1" x14ac:dyDescent="0.25">
      <c r="A81" s="270"/>
      <c r="B81" s="45"/>
      <c r="C81" s="46"/>
      <c r="D81" s="46"/>
      <c r="E81" s="3"/>
    </row>
    <row r="82" spans="1:7" ht="15.75" customHeight="1" thickTop="1" x14ac:dyDescent="0.2">
      <c r="A82" s="265" t="s">
        <v>214</v>
      </c>
      <c r="B82" s="365" t="str">
        <f>LOOKUP($B$11,Protocols!A:A,Protocols!C:C)</f>
        <v>No Feed</v>
      </c>
      <c r="C82" s="296"/>
      <c r="D82" s="296"/>
    </row>
    <row r="83" spans="1:7" ht="15.75" customHeight="1" thickBot="1" x14ac:dyDescent="0.25">
      <c r="B83" s="298" t="s">
        <v>2</v>
      </c>
      <c r="C83" s="299" t="s">
        <v>10</v>
      </c>
      <c r="D83" s="300"/>
    </row>
    <row r="84" spans="1:7" ht="15.75" customHeight="1" thickTop="1" x14ac:dyDescent="0.2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2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2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2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2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2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2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2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2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2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2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2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2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2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2">
      <c r="A98" s="270"/>
      <c r="B98" s="27"/>
      <c r="C98" s="33"/>
      <c r="D98" s="33"/>
    </row>
    <row r="99" spans="1:17" s="267" customFormat="1" ht="30" customHeight="1" x14ac:dyDescent="0.2">
      <c r="A99" s="265" t="s">
        <v>215</v>
      </c>
      <c r="B99" s="392" t="s">
        <v>292</v>
      </c>
      <c r="C99" s="393"/>
      <c r="D99" s="393"/>
      <c r="E99" s="394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2">
      <c r="B100" s="395"/>
      <c r="C100" s="396"/>
      <c r="D100" s="396"/>
      <c r="E100" s="397"/>
    </row>
    <row r="101" spans="1:17" x14ac:dyDescent="0.2">
      <c r="B101" s="398"/>
      <c r="C101" s="399"/>
      <c r="D101" s="399"/>
      <c r="E101" s="400"/>
    </row>
    <row r="102" spans="1:17" x14ac:dyDescent="0.2">
      <c r="B102" s="263"/>
      <c r="C102" s="263"/>
      <c r="D102" s="263"/>
      <c r="E102" s="263"/>
    </row>
    <row r="103" spans="1:17" ht="15" thickBot="1" x14ac:dyDescent="0.25">
      <c r="A103" s="270"/>
      <c r="B103" s="21"/>
      <c r="C103" s="21"/>
      <c r="D103" s="21"/>
      <c r="E103" s="21"/>
    </row>
    <row r="104" spans="1:17" ht="17" thickTop="1" x14ac:dyDescent="0.2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thickBot="1" x14ac:dyDescent="0.25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5" thickTop="1" x14ac:dyDescent="0.2">
      <c r="A106" s="270"/>
      <c r="B106" s="330">
        <f>LOOKUP(CONCATENATE($B$104,"t"),Feed!$A:$A,Feed!B:B)</f>
        <v>0</v>
      </c>
      <c r="C106" s="330">
        <f>LOOKUP($B$104,Feed!$A:$A,Feed!B:B)</f>
        <v>0</v>
      </c>
      <c r="D106" s="330">
        <f>LOOKUP($B$104,Feed!$A:$A,Feed!D:D)</f>
        <v>0</v>
      </c>
      <c r="E106" s="3"/>
    </row>
    <row r="107" spans="1:17" ht="14" x14ac:dyDescent="0.2">
      <c r="A107" s="270"/>
      <c r="B107" s="330">
        <f>LOOKUP(CONCATENATE($B$104,"t"),Feed!$A:$A,Feed!C:C)</f>
        <v>77</v>
      </c>
      <c r="C107" s="330" t="str">
        <f>IF(LOOKUP($B$104,Feed!$A:$A,Feed!C:C)=0,"",LOOKUP($B$104,Feed!$A:$A,Feed!C:C))</f>
        <v/>
      </c>
      <c r="D107" s="330"/>
      <c r="E107" s="3"/>
    </row>
    <row r="108" spans="1:17" ht="15" thickBot="1" x14ac:dyDescent="0.25">
      <c r="A108" s="270"/>
      <c r="B108" s="331"/>
      <c r="C108" s="331" t="str">
        <f>IF(LOOKUP($B$111,pH_lower!$A:$A,pH_lower!K:K)=0,"",LOOKUP($B$111,pH_lower!$A:$A,pH_lower!K:K))</f>
        <v/>
      </c>
      <c r="D108" s="331" t="str">
        <f>IF(LOOKUP($B$111,pH_lower!$A:$A,pH_lower!L:L)=0,"",LOOKUP($B$111,pH_lower!$A:$A,pH_lower!L:L))</f>
        <v/>
      </c>
      <c r="E108" s="3"/>
    </row>
    <row r="109" spans="1:17" ht="15" thickTop="1" x14ac:dyDescent="0.2">
      <c r="A109" s="270"/>
      <c r="B109" s="43"/>
      <c r="C109" s="47"/>
      <c r="D109" s="47"/>
      <c r="E109" s="21"/>
    </row>
    <row r="110" spans="1:17" ht="17" thickBot="1" x14ac:dyDescent="0.25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7" thickTop="1" x14ac:dyDescent="0.2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7" thickBot="1" x14ac:dyDescent="0.25">
      <c r="A112" s="270"/>
      <c r="B112" s="299" t="s">
        <v>41</v>
      </c>
      <c r="C112" s="298" t="s">
        <v>1</v>
      </c>
      <c r="E112" s="9"/>
      <c r="Q112" s="3"/>
    </row>
    <row r="113" spans="1:17" ht="17" thickTop="1" x14ac:dyDescent="0.2">
      <c r="A113" s="270"/>
      <c r="B113" s="330">
        <f>LOOKUP(CONCATENATE($B$111,"t"),pH_lower!$A:$A,pH_lower!B:B)</f>
        <v>0</v>
      </c>
      <c r="C113" s="332">
        <f>LOOKUP($B$111,pH_lower!$A:$A,pH_lower!B:B)</f>
        <v>7</v>
      </c>
      <c r="E113" s="9"/>
      <c r="Q113" s="3"/>
    </row>
    <row r="114" spans="1:17" ht="16.5" customHeight="1" x14ac:dyDescent="0.2">
      <c r="A114" s="270"/>
      <c r="B114" s="330">
        <f>IF(LOOKUP(CONCATENATE($B$111,"t"),pH_lower!$A:$A,pH_lower!C:C)=0,"",LOOKUP(CONCATENATE($B$111,"t"),pH_lower!$A:$A,pH_lower!C:C))</f>
        <v>100</v>
      </c>
      <c r="C114" s="332">
        <f>IF(LOOKUP($B$111,pH_lower!$A:$A,pH_lower!C:C)=0,"",LOOKUP($B$111,pH_lower!$A:$A,pH_lower!C:C))</f>
        <v>7</v>
      </c>
      <c r="E114" s="9"/>
      <c r="Q114" s="3"/>
    </row>
    <row r="115" spans="1:17" x14ac:dyDescent="0.2">
      <c r="B115" s="330" t="str">
        <f>IF(LOOKUP(CONCATENATE($B$111,"t"),pH_upper!$A:$A,pH_upper!D:D)=0,"",LOOKUP(CONCATENATE($B$111,"t"),pH_upper!$A:$A,pH_upper!D:D))</f>
        <v/>
      </c>
      <c r="C115" s="332" t="str">
        <f>IF(LOOKUP($B$111,pH_lower!$A:$A,pH_lower!D:D)=0,"",LOOKUP($B$111,pH_lower!$A:$A,pH_lower!D:D))</f>
        <v/>
      </c>
      <c r="E115" s="9"/>
      <c r="Q115" s="3"/>
    </row>
    <row r="116" spans="1:17" ht="17" thickBot="1" x14ac:dyDescent="0.25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7" thickTop="1" x14ac:dyDescent="0.2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7" thickBot="1" x14ac:dyDescent="0.25">
      <c r="C118" s="12"/>
      <c r="D118" s="21"/>
      <c r="E118" s="21"/>
    </row>
    <row r="119" spans="1:17" ht="17" thickTop="1" x14ac:dyDescent="0.2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7" thickBot="1" x14ac:dyDescent="0.25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7" thickTop="1" x14ac:dyDescent="0.2">
      <c r="B121" s="330">
        <f>LOOKUP(CONCATENATE($B$119,"t"),Temperature!$A:$A,Temperature!B:B)</f>
        <v>0</v>
      </c>
      <c r="C121" s="330">
        <f>LOOKUP($B$119,Temperature!$A:$A,Temperature!B:B)</f>
        <v>37</v>
      </c>
      <c r="D121" s="21"/>
      <c r="E121" s="21"/>
    </row>
    <row r="122" spans="1:17" x14ac:dyDescent="0.2">
      <c r="B122" s="330">
        <f>LOOKUP(CONCATENATE($B$119,"t"),Temperature!$A:$A,Temperature!C:C)</f>
        <v>100</v>
      </c>
      <c r="C122" s="330">
        <f>IF(LOOKUP($B$119,Temperature!$A:$A,Temperature!C:C)=0,"",LOOKUP($B$119,Temperature!$A:$A,Temperature!C:C))</f>
        <v>37</v>
      </c>
      <c r="D122" s="21"/>
      <c r="E122" s="21"/>
    </row>
    <row r="123" spans="1:17" ht="17" thickBot="1" x14ac:dyDescent="0.25">
      <c r="B123" s="331" t="str">
        <f>IF(LOOKUP($B$111,pH_upper!$A:$A,pH_upper!K:K)=0,"",LOOKUP($B$111,pH_upper!$A:$A,pH_upper!K:K))</f>
        <v/>
      </c>
      <c r="C123" s="331" t="str">
        <f>IF(LOOKUP($B$119,Temperature!$A:$A,Temperature!F:F)=0,"",LOOKUP($B$119,Temperature!$A:$A,Temperature!F:F))</f>
        <v/>
      </c>
      <c r="D123" s="21"/>
      <c r="E123" s="21"/>
    </row>
    <row r="124" spans="1:17" ht="17" thickTop="1" x14ac:dyDescent="0.2">
      <c r="C124" s="12" t="str">
        <f>IF(LOOKUP($B$104,Feed!$A:$A,Feed!J:J)=0,"",LOOKUP($B$104,Feed!$A:$A,Feed!J:J))</f>
        <v/>
      </c>
      <c r="D124" s="21"/>
      <c r="E124" s="21"/>
    </row>
    <row r="125" spans="1:17" x14ac:dyDescent="0.2">
      <c r="B125" s="3"/>
      <c r="C125" s="12"/>
      <c r="D125" s="21"/>
      <c r="E125" s="21"/>
    </row>
    <row r="126" spans="1:17" s="56" customFormat="1" x14ac:dyDescent="0.2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2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2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5" x14ac:dyDescent="0.2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4" x14ac:dyDescent="0.2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4" x14ac:dyDescent="0.2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4" x14ac:dyDescent="0.2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5" x14ac:dyDescent="0.2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4" x14ac:dyDescent="0.2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" x14ac:dyDescent="0.15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" x14ac:dyDescent="0.15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" x14ac:dyDescent="0.15">
      <c r="A137" s="272"/>
      <c r="B137" s="58"/>
      <c r="C137" s="58"/>
      <c r="D137" s="55"/>
      <c r="E137" s="55"/>
    </row>
    <row r="138" spans="1:51" s="54" customFormat="1" ht="13" x14ac:dyDescent="0.15">
      <c r="A138" s="272"/>
      <c r="B138" s="58"/>
      <c r="C138" s="58"/>
      <c r="D138" s="55"/>
      <c r="E138" s="55"/>
    </row>
    <row r="139" spans="1:51" s="54" customFormat="1" ht="13" x14ac:dyDescent="0.15">
      <c r="A139" s="272"/>
      <c r="B139" s="55"/>
      <c r="C139" s="55"/>
      <c r="D139" s="55"/>
      <c r="E139" s="55"/>
    </row>
    <row r="140" spans="1:51" s="54" customFormat="1" ht="13" x14ac:dyDescent="0.15">
      <c r="A140" s="272"/>
      <c r="B140" s="55"/>
      <c r="C140" s="55"/>
      <c r="D140" s="55"/>
      <c r="E140" s="55"/>
    </row>
    <row r="141" spans="1:51" s="54" customFormat="1" ht="13" x14ac:dyDescent="0.15">
      <c r="A141" s="272"/>
      <c r="B141" s="55"/>
      <c r="C141" s="55"/>
      <c r="D141" s="55"/>
      <c r="E141" s="55"/>
    </row>
    <row r="142" spans="1:51" s="54" customFormat="1" ht="13" x14ac:dyDescent="0.15">
      <c r="A142" s="272"/>
      <c r="B142" s="55"/>
      <c r="C142" s="55"/>
      <c r="D142" s="55"/>
      <c r="E142" s="55"/>
    </row>
    <row r="143" spans="1:51" s="54" customFormat="1" ht="13" x14ac:dyDescent="0.15">
      <c r="A143" s="272"/>
      <c r="B143" s="55"/>
      <c r="C143" s="55"/>
      <c r="D143" s="55"/>
      <c r="E143" s="55"/>
    </row>
    <row r="144" spans="1:51" s="54" customFormat="1" ht="13" x14ac:dyDescent="0.15">
      <c r="A144" s="272"/>
      <c r="B144" s="55"/>
      <c r="C144" s="55"/>
      <c r="D144" s="55"/>
      <c r="E144" s="55"/>
    </row>
    <row r="145" spans="1:5" s="54" customFormat="1" ht="13" x14ac:dyDescent="0.15">
      <c r="A145" s="271"/>
      <c r="B145" s="55"/>
      <c r="C145" s="55"/>
      <c r="D145" s="55"/>
      <c r="E145" s="55"/>
    </row>
    <row r="146" spans="1:5" s="54" customFormat="1" ht="13" x14ac:dyDescent="0.15">
      <c r="A146" s="272"/>
      <c r="C146" s="55"/>
      <c r="D146" s="55"/>
      <c r="E146" s="55"/>
    </row>
    <row r="147" spans="1:5" s="54" customFormat="1" ht="13" x14ac:dyDescent="0.15">
      <c r="A147" s="272"/>
      <c r="C147" s="55"/>
      <c r="D147" s="55"/>
      <c r="E147" s="55"/>
    </row>
    <row r="148" spans="1:5" s="54" customFormat="1" ht="13" x14ac:dyDescent="0.15">
      <c r="A148" s="273"/>
      <c r="C148" s="55"/>
      <c r="D148" s="55"/>
      <c r="E148" s="55"/>
    </row>
    <row r="149" spans="1:5" s="54" customFormat="1" ht="13" x14ac:dyDescent="0.15">
      <c r="A149" s="274"/>
      <c r="C149" s="55"/>
      <c r="D149" s="55"/>
      <c r="E149" s="55"/>
    </row>
    <row r="150" spans="1:5" s="54" customFormat="1" ht="13" x14ac:dyDescent="0.15">
      <c r="A150" s="274"/>
      <c r="C150" s="55"/>
      <c r="D150" s="55"/>
      <c r="E150" s="55"/>
    </row>
    <row r="151" spans="1:5" s="54" customFormat="1" ht="13" x14ac:dyDescent="0.15">
      <c r="A151" s="274"/>
      <c r="C151" s="55"/>
      <c r="D151" s="55"/>
    </row>
    <row r="152" spans="1:5" s="54" customFormat="1" ht="13" x14ac:dyDescent="0.15">
      <c r="A152" s="274"/>
      <c r="C152" s="55"/>
      <c r="D152" s="55"/>
      <c r="E152" s="59" t="s">
        <v>22</v>
      </c>
    </row>
    <row r="153" spans="1:5" s="9" customFormat="1" ht="13" x14ac:dyDescent="0.15">
      <c r="A153" s="275"/>
      <c r="C153" s="55"/>
      <c r="D153" s="36"/>
    </row>
    <row r="154" spans="1:5" s="9" customFormat="1" ht="13" x14ac:dyDescent="0.15">
      <c r="A154" s="275"/>
      <c r="C154" s="55"/>
      <c r="D154" s="36"/>
      <c r="E154" s="36"/>
    </row>
    <row r="155" spans="1:5" s="9" customFormat="1" ht="13" x14ac:dyDescent="0.15">
      <c r="A155" s="275"/>
      <c r="B155" s="55"/>
      <c r="C155" s="55"/>
      <c r="D155" s="36"/>
      <c r="E155" s="36"/>
    </row>
    <row r="156" spans="1:5" s="9" customFormat="1" ht="13" x14ac:dyDescent="0.15">
      <c r="A156" s="275"/>
      <c r="B156" s="55"/>
      <c r="C156" s="55"/>
      <c r="D156" s="36"/>
      <c r="E156" s="36"/>
    </row>
    <row r="157" spans="1:5" s="9" customFormat="1" ht="13" x14ac:dyDescent="0.15">
      <c r="A157" s="275"/>
      <c r="B157" s="55"/>
      <c r="C157" s="55"/>
      <c r="D157" s="36"/>
      <c r="E157" s="36"/>
    </row>
    <row r="158" spans="1:5" s="9" customFormat="1" ht="13" x14ac:dyDescent="0.15">
      <c r="A158" s="275"/>
      <c r="B158" s="36"/>
      <c r="C158" s="36"/>
      <c r="D158" s="36"/>
      <c r="E158" s="36"/>
    </row>
    <row r="159" spans="1:5" s="9" customFormat="1" ht="13" x14ac:dyDescent="0.15">
      <c r="A159" s="275"/>
      <c r="B159" s="36"/>
      <c r="C159" s="36"/>
      <c r="D159" s="36"/>
      <c r="E159" s="36"/>
    </row>
    <row r="160" spans="1:5" s="9" customFormat="1" ht="13" x14ac:dyDescent="0.15">
      <c r="A160" s="275"/>
      <c r="B160" s="36"/>
      <c r="C160" s="36"/>
      <c r="D160" s="36"/>
      <c r="E160" s="36"/>
    </row>
    <row r="161" spans="1:5" s="9" customFormat="1" ht="13" x14ac:dyDescent="0.15">
      <c r="A161" s="275"/>
      <c r="B161" s="36"/>
      <c r="C161" s="36"/>
      <c r="D161" s="36"/>
      <c r="E161" s="36"/>
    </row>
    <row r="162" spans="1:5" s="9" customFormat="1" ht="13" x14ac:dyDescent="0.15">
      <c r="A162" s="275"/>
      <c r="B162" s="36"/>
      <c r="C162" s="36"/>
      <c r="D162" s="36"/>
    </row>
    <row r="163" spans="1:5" s="9" customFormat="1" ht="13" x14ac:dyDescent="0.15">
      <c r="A163" s="275"/>
      <c r="B163" s="36"/>
      <c r="C163" s="36"/>
      <c r="D163" s="36"/>
      <c r="E163" s="36"/>
    </row>
    <row r="164" spans="1:5" s="9" customFormat="1" ht="13" x14ac:dyDescent="0.15">
      <c r="A164" s="275"/>
      <c r="B164" s="36"/>
      <c r="C164" s="36"/>
      <c r="D164" s="36"/>
      <c r="E164" s="36"/>
    </row>
    <row r="165" spans="1:5" s="9" customFormat="1" ht="13" x14ac:dyDescent="0.15">
      <c r="A165" s="275"/>
      <c r="B165" s="36"/>
      <c r="C165" s="36"/>
      <c r="D165" s="36"/>
      <c r="E165" s="36"/>
    </row>
    <row r="166" spans="1:5" s="9" customFormat="1" ht="13" x14ac:dyDescent="0.15">
      <c r="A166" s="275"/>
      <c r="B166" s="36"/>
      <c r="C166" s="36"/>
      <c r="D166" s="36"/>
      <c r="E166" s="36"/>
    </row>
    <row r="167" spans="1:5" s="9" customFormat="1" ht="13" x14ac:dyDescent="0.15">
      <c r="A167" s="275"/>
      <c r="B167" s="36"/>
      <c r="C167" s="36"/>
      <c r="D167" s="36"/>
      <c r="E167" s="36"/>
    </row>
    <row r="168" spans="1:5" s="9" customFormat="1" ht="13" x14ac:dyDescent="0.15">
      <c r="A168" s="275"/>
      <c r="B168" s="36"/>
      <c r="C168" s="36"/>
      <c r="D168" s="36"/>
      <c r="E168" s="36"/>
    </row>
    <row r="169" spans="1:5" s="9" customFormat="1" ht="13" x14ac:dyDescent="0.15">
      <c r="A169" s="275"/>
      <c r="B169" s="36"/>
      <c r="C169" s="36"/>
      <c r="D169" s="36"/>
      <c r="E169" s="36"/>
    </row>
    <row r="170" spans="1:5" s="9" customFormat="1" ht="13" x14ac:dyDescent="0.15">
      <c r="A170" s="275"/>
      <c r="B170" s="36"/>
      <c r="C170" s="36"/>
      <c r="D170" s="36"/>
      <c r="E170" s="36"/>
    </row>
    <row r="171" spans="1:5" s="9" customFormat="1" ht="13" x14ac:dyDescent="0.15">
      <c r="A171" s="275"/>
      <c r="B171" s="36"/>
      <c r="C171" s="36"/>
      <c r="D171" s="36"/>
      <c r="E171" s="36"/>
    </row>
    <row r="172" spans="1:5" s="9" customFormat="1" ht="13" x14ac:dyDescent="0.15">
      <c r="A172" s="275"/>
      <c r="B172" s="36"/>
      <c r="C172" s="36"/>
      <c r="D172" s="36"/>
      <c r="E172" s="36"/>
    </row>
    <row r="173" spans="1:5" s="9" customFormat="1" ht="13" x14ac:dyDescent="0.15">
      <c r="A173" s="275"/>
      <c r="B173" s="36"/>
      <c r="C173" s="36"/>
      <c r="D173" s="36"/>
      <c r="E173" s="36"/>
    </row>
    <row r="174" spans="1:5" s="9" customFormat="1" ht="13" x14ac:dyDescent="0.15">
      <c r="A174" s="275"/>
      <c r="B174" s="36"/>
      <c r="C174" s="36"/>
      <c r="D174" s="36"/>
      <c r="E174" s="36"/>
    </row>
    <row r="175" spans="1:5" s="9" customFormat="1" ht="13" x14ac:dyDescent="0.15">
      <c r="A175" s="275"/>
      <c r="B175" s="36"/>
      <c r="C175" s="36"/>
      <c r="D175" s="36"/>
      <c r="E175" s="36"/>
    </row>
    <row r="176" spans="1:5" s="9" customFormat="1" ht="13" x14ac:dyDescent="0.15">
      <c r="A176" s="275"/>
      <c r="B176" s="36"/>
      <c r="C176" s="36"/>
      <c r="D176" s="36"/>
      <c r="E176" s="36"/>
    </row>
    <row r="177" spans="1:5" s="9" customFormat="1" ht="13" x14ac:dyDescent="0.15">
      <c r="A177" s="275"/>
      <c r="B177" s="36"/>
      <c r="C177" s="36"/>
      <c r="D177" s="36"/>
      <c r="E177" s="36"/>
    </row>
    <row r="178" spans="1:5" s="9" customFormat="1" ht="13" x14ac:dyDescent="0.15">
      <c r="A178" s="275"/>
      <c r="B178" s="36"/>
      <c r="C178" s="36"/>
      <c r="D178" s="36"/>
      <c r="E178" s="36"/>
    </row>
    <row r="179" spans="1:5" s="9" customFormat="1" ht="13" x14ac:dyDescent="0.15">
      <c r="A179" s="275"/>
      <c r="B179" s="36"/>
      <c r="C179" s="36"/>
      <c r="D179" s="36"/>
      <c r="E179" s="36"/>
    </row>
    <row r="180" spans="1:5" s="9" customFormat="1" ht="13" x14ac:dyDescent="0.15">
      <c r="A180" s="275"/>
      <c r="B180" s="36"/>
      <c r="C180" s="36"/>
      <c r="D180" s="36"/>
      <c r="E180" s="36"/>
    </row>
    <row r="181" spans="1:5" s="9" customFormat="1" ht="13" x14ac:dyDescent="0.15">
      <c r="A181" s="275"/>
      <c r="B181" s="36"/>
      <c r="C181" s="36"/>
      <c r="D181" s="36"/>
      <c r="E181" s="36"/>
    </row>
    <row r="182" spans="1:5" s="9" customFormat="1" ht="13" x14ac:dyDescent="0.15">
      <c r="A182" s="275"/>
      <c r="B182" s="36"/>
      <c r="C182" s="36"/>
      <c r="D182" s="36"/>
      <c r="E182" s="36"/>
    </row>
    <row r="183" spans="1:5" s="9" customFormat="1" ht="13" x14ac:dyDescent="0.15">
      <c r="A183" s="275"/>
      <c r="B183" s="36"/>
      <c r="C183" s="36"/>
      <c r="D183" s="36"/>
      <c r="E183" s="36"/>
    </row>
    <row r="184" spans="1:5" s="9" customFormat="1" ht="13" x14ac:dyDescent="0.15">
      <c r="A184" s="275"/>
      <c r="B184" s="36"/>
      <c r="C184" s="36"/>
      <c r="D184" s="36"/>
      <c r="E184" s="36"/>
    </row>
    <row r="185" spans="1:5" s="9" customFormat="1" ht="13" x14ac:dyDescent="0.15">
      <c r="A185" s="275"/>
      <c r="B185" s="36"/>
      <c r="C185" s="36"/>
      <c r="D185" s="36"/>
      <c r="E185" s="36"/>
    </row>
    <row r="186" spans="1:5" s="9" customFormat="1" ht="13" x14ac:dyDescent="0.15">
      <c r="A186" s="275"/>
      <c r="B186" s="36"/>
      <c r="C186" s="36"/>
      <c r="D186" s="36"/>
      <c r="E186" s="36"/>
    </row>
    <row r="187" spans="1:5" s="9" customFormat="1" ht="13" x14ac:dyDescent="0.15">
      <c r="A187" s="275"/>
      <c r="B187" s="36"/>
      <c r="C187" s="36"/>
      <c r="D187" s="36"/>
      <c r="E187" s="36"/>
    </row>
    <row r="188" spans="1:5" s="9" customFormat="1" ht="13" x14ac:dyDescent="0.15">
      <c r="A188" s="275"/>
      <c r="B188" s="36"/>
      <c r="C188" s="36"/>
      <c r="D188" s="36"/>
      <c r="E188" s="36"/>
    </row>
    <row r="189" spans="1:5" s="9" customFormat="1" ht="13" x14ac:dyDescent="0.15">
      <c r="A189" s="275"/>
      <c r="B189" s="36"/>
      <c r="C189" s="36"/>
      <c r="D189" s="36"/>
      <c r="E189" s="36"/>
    </row>
    <row r="190" spans="1:5" s="9" customFormat="1" ht="13" x14ac:dyDescent="0.15">
      <c r="A190" s="275"/>
      <c r="B190" s="36"/>
      <c r="C190" s="36"/>
      <c r="D190" s="36"/>
      <c r="E190" s="36"/>
    </row>
    <row r="191" spans="1:5" s="9" customFormat="1" ht="13" x14ac:dyDescent="0.15">
      <c r="A191" s="275"/>
      <c r="B191" s="36"/>
      <c r="C191" s="36"/>
      <c r="D191" s="36"/>
      <c r="E191" s="36"/>
    </row>
    <row r="192" spans="1:5" s="9" customFormat="1" ht="13" x14ac:dyDescent="0.15">
      <c r="A192" s="275"/>
      <c r="B192" s="36"/>
      <c r="C192" s="36"/>
      <c r="D192" s="36"/>
      <c r="E192" s="36"/>
    </row>
    <row r="193" spans="1:5" s="9" customFormat="1" ht="13" x14ac:dyDescent="0.15">
      <c r="A193" s="275"/>
      <c r="B193" s="36"/>
      <c r="C193" s="36"/>
      <c r="D193" s="36"/>
      <c r="E193" s="36"/>
    </row>
    <row r="194" spans="1:5" s="9" customFormat="1" ht="13" x14ac:dyDescent="0.15">
      <c r="A194" s="275"/>
      <c r="B194" s="36"/>
      <c r="C194" s="36"/>
      <c r="D194" s="36"/>
      <c r="E194" s="36"/>
    </row>
    <row r="195" spans="1:5" s="9" customFormat="1" ht="13" x14ac:dyDescent="0.15">
      <c r="A195" s="275"/>
      <c r="B195" s="36"/>
      <c r="C195" s="36"/>
      <c r="D195" s="36"/>
      <c r="E195" s="36"/>
    </row>
    <row r="196" spans="1:5" s="9" customFormat="1" ht="13" x14ac:dyDescent="0.15">
      <c r="A196" s="275"/>
      <c r="B196" s="36"/>
      <c r="C196" s="36"/>
      <c r="D196" s="36"/>
      <c r="E196" s="36"/>
    </row>
    <row r="197" spans="1:5" s="9" customFormat="1" ht="13" x14ac:dyDescent="0.15">
      <c r="A197" s="275"/>
      <c r="B197" s="36"/>
      <c r="C197" s="36"/>
      <c r="D197" s="36"/>
      <c r="E197" s="36"/>
    </row>
    <row r="198" spans="1:5" s="9" customFormat="1" ht="13" x14ac:dyDescent="0.15">
      <c r="A198" s="275"/>
      <c r="B198" s="36"/>
      <c r="C198" s="36"/>
      <c r="D198" s="36"/>
      <c r="E198" s="36"/>
    </row>
    <row r="199" spans="1:5" s="9" customFormat="1" ht="13" x14ac:dyDescent="0.15">
      <c r="A199" s="275"/>
      <c r="B199" s="36"/>
      <c r="C199" s="36"/>
      <c r="D199" s="36"/>
      <c r="E199" s="36"/>
    </row>
    <row r="200" spans="1:5" s="9" customFormat="1" ht="13" x14ac:dyDescent="0.15">
      <c r="A200" s="275"/>
      <c r="B200" s="36"/>
      <c r="C200" s="36"/>
      <c r="D200" s="36"/>
      <c r="E200" s="36"/>
    </row>
    <row r="201" spans="1:5" s="9" customFormat="1" ht="13" x14ac:dyDescent="0.15">
      <c r="A201" s="275"/>
      <c r="B201" s="36"/>
      <c r="C201" s="36"/>
      <c r="D201" s="36"/>
      <c r="E201" s="36"/>
    </row>
    <row r="202" spans="1:5" s="9" customFormat="1" ht="13" x14ac:dyDescent="0.15">
      <c r="A202" s="275"/>
      <c r="B202" s="36"/>
      <c r="C202" s="36"/>
      <c r="D202" s="36"/>
      <c r="E202" s="36"/>
    </row>
    <row r="203" spans="1:5" s="9" customFormat="1" ht="13" x14ac:dyDescent="0.15">
      <c r="A203" s="275"/>
      <c r="B203" s="36"/>
      <c r="C203" s="36"/>
      <c r="D203" s="36"/>
      <c r="E203" s="36"/>
    </row>
    <row r="204" spans="1:5" s="9" customFormat="1" ht="13" x14ac:dyDescent="0.15">
      <c r="A204" s="275"/>
      <c r="B204" s="36"/>
      <c r="C204" s="36"/>
      <c r="D204" s="36"/>
      <c r="E204" s="36"/>
    </row>
    <row r="205" spans="1:5" s="9" customFormat="1" ht="13" x14ac:dyDescent="0.15">
      <c r="A205" s="275"/>
      <c r="B205" s="36"/>
      <c r="C205" s="36"/>
      <c r="D205" s="36"/>
      <c r="E205" s="36"/>
    </row>
    <row r="206" spans="1:5" s="9" customFormat="1" ht="13" x14ac:dyDescent="0.15">
      <c r="A206" s="275"/>
      <c r="B206" s="36"/>
      <c r="C206" s="36"/>
      <c r="D206" s="36"/>
      <c r="E206" s="36"/>
    </row>
    <row r="207" spans="1:5" s="9" customFormat="1" ht="13" x14ac:dyDescent="0.15">
      <c r="A207" s="275"/>
      <c r="B207" s="36"/>
      <c r="C207" s="36"/>
      <c r="D207" s="36"/>
      <c r="E207" s="36"/>
    </row>
    <row r="208" spans="1:5" s="9" customFormat="1" ht="13" x14ac:dyDescent="0.15">
      <c r="A208" s="275"/>
      <c r="B208" s="36"/>
      <c r="C208" s="36"/>
      <c r="D208" s="36"/>
      <c r="E208" s="36"/>
    </row>
    <row r="209" spans="1:5" s="9" customFormat="1" ht="13" x14ac:dyDescent="0.15">
      <c r="A209" s="275"/>
      <c r="B209" s="36"/>
      <c r="C209" s="36"/>
      <c r="D209" s="36"/>
      <c r="E209" s="36"/>
    </row>
    <row r="210" spans="1:5" s="9" customFormat="1" ht="13" x14ac:dyDescent="0.15">
      <c r="A210" s="275"/>
      <c r="B210" s="36"/>
      <c r="C210" s="36"/>
      <c r="D210" s="36"/>
      <c r="E210" s="36"/>
    </row>
    <row r="211" spans="1:5" s="9" customFormat="1" ht="13" x14ac:dyDescent="0.15">
      <c r="A211" s="275"/>
      <c r="B211" s="36"/>
      <c r="C211" s="36"/>
      <c r="D211" s="36"/>
      <c r="E211" s="36"/>
    </row>
    <row r="212" spans="1:5" s="9" customFormat="1" ht="13" x14ac:dyDescent="0.15">
      <c r="A212" s="275"/>
      <c r="B212" s="36"/>
      <c r="C212" s="36"/>
      <c r="D212" s="36"/>
      <c r="E212" s="36"/>
    </row>
    <row r="213" spans="1:5" s="9" customFormat="1" ht="13" x14ac:dyDescent="0.15">
      <c r="A213" s="275"/>
      <c r="B213" s="36"/>
      <c r="C213" s="36"/>
      <c r="D213" s="36"/>
      <c r="E213" s="36"/>
    </row>
    <row r="214" spans="1:5" s="9" customFormat="1" ht="13" x14ac:dyDescent="0.15">
      <c r="A214" s="275"/>
      <c r="B214" s="36"/>
      <c r="C214" s="36"/>
      <c r="D214" s="36"/>
      <c r="E214" s="36"/>
    </row>
    <row r="215" spans="1:5" s="9" customFormat="1" ht="13" x14ac:dyDescent="0.15">
      <c r="A215" s="275"/>
      <c r="B215" s="36"/>
      <c r="C215" s="36"/>
      <c r="D215" s="36"/>
      <c r="E215" s="36"/>
    </row>
    <row r="216" spans="1:5" s="9" customFormat="1" ht="13" x14ac:dyDescent="0.15">
      <c r="A216" s="275"/>
      <c r="B216" s="36"/>
      <c r="C216" s="36"/>
      <c r="D216" s="36"/>
      <c r="E216" s="36"/>
    </row>
    <row r="217" spans="1:5" s="9" customFormat="1" ht="13" x14ac:dyDescent="0.15">
      <c r="A217" s="275"/>
      <c r="B217" s="36"/>
      <c r="C217" s="36"/>
      <c r="D217" s="36"/>
      <c r="E217" s="36"/>
    </row>
    <row r="218" spans="1:5" s="9" customFormat="1" ht="13" x14ac:dyDescent="0.15">
      <c r="A218" s="275"/>
      <c r="B218" s="36"/>
      <c r="C218" s="36"/>
      <c r="D218" s="36"/>
      <c r="E218" s="36"/>
    </row>
    <row r="219" spans="1:5" s="9" customFormat="1" ht="13" x14ac:dyDescent="0.15">
      <c r="A219" s="275"/>
      <c r="B219" s="36"/>
      <c r="C219" s="36"/>
      <c r="D219" s="36"/>
      <c r="E219" s="36"/>
    </row>
    <row r="220" spans="1:5" s="9" customFormat="1" ht="13" x14ac:dyDescent="0.15">
      <c r="A220" s="275"/>
      <c r="B220" s="36"/>
      <c r="C220" s="36"/>
      <c r="D220" s="36"/>
      <c r="E220" s="36"/>
    </row>
    <row r="221" spans="1:5" s="9" customFormat="1" ht="13" x14ac:dyDescent="0.15">
      <c r="A221" s="275"/>
      <c r="B221" s="36"/>
      <c r="C221" s="36"/>
      <c r="D221" s="36"/>
      <c r="E221" s="36"/>
    </row>
    <row r="222" spans="1:5" s="9" customFormat="1" ht="13" x14ac:dyDescent="0.15">
      <c r="A222" s="275"/>
      <c r="B222" s="36"/>
      <c r="C222" s="36"/>
      <c r="D222" s="36"/>
      <c r="E222" s="36"/>
    </row>
    <row r="223" spans="1:5" s="9" customFormat="1" ht="13" x14ac:dyDescent="0.15">
      <c r="A223" s="275"/>
      <c r="B223" s="36"/>
      <c r="C223" s="36"/>
      <c r="D223" s="36"/>
      <c r="E223" s="36"/>
    </row>
    <row r="224" spans="1:5" s="9" customFormat="1" ht="13" x14ac:dyDescent="0.15">
      <c r="A224" s="275"/>
      <c r="B224" s="36"/>
      <c r="C224" s="36"/>
      <c r="D224" s="36"/>
      <c r="E224" s="36"/>
    </row>
    <row r="225" spans="1:5" s="9" customFormat="1" ht="13" x14ac:dyDescent="0.15">
      <c r="A225" s="275"/>
      <c r="B225" s="36"/>
      <c r="C225" s="36"/>
      <c r="D225" s="36"/>
      <c r="E225" s="36"/>
    </row>
    <row r="226" spans="1:5" s="9" customFormat="1" ht="13" x14ac:dyDescent="0.15">
      <c r="A226" s="275"/>
      <c r="B226" s="36"/>
      <c r="C226" s="36"/>
      <c r="D226" s="36"/>
      <c r="E226" s="36"/>
    </row>
    <row r="227" spans="1:5" s="9" customFormat="1" ht="13" x14ac:dyDescent="0.15">
      <c r="A227" s="275"/>
      <c r="B227" s="36"/>
      <c r="C227" s="36"/>
      <c r="D227" s="36"/>
      <c r="E227" s="36"/>
    </row>
    <row r="228" spans="1:5" s="9" customFormat="1" ht="13" x14ac:dyDescent="0.15">
      <c r="A228" s="275"/>
      <c r="B228" s="36"/>
      <c r="C228" s="36"/>
      <c r="D228" s="36"/>
      <c r="E228" s="36"/>
    </row>
    <row r="229" spans="1:5" s="9" customFormat="1" ht="13" x14ac:dyDescent="0.15">
      <c r="A229" s="275"/>
      <c r="B229" s="36"/>
      <c r="C229" s="36"/>
      <c r="D229" s="36"/>
      <c r="E229" s="36"/>
    </row>
    <row r="230" spans="1:5" s="9" customFormat="1" ht="13" x14ac:dyDescent="0.15">
      <c r="A230" s="275"/>
      <c r="B230" s="36"/>
      <c r="C230" s="36"/>
      <c r="D230" s="36"/>
      <c r="E230" s="36"/>
    </row>
    <row r="231" spans="1:5" s="9" customFormat="1" ht="13" x14ac:dyDescent="0.15">
      <c r="A231" s="275"/>
      <c r="B231" s="36"/>
      <c r="C231" s="36"/>
      <c r="D231" s="36"/>
      <c r="E231" s="36"/>
    </row>
    <row r="232" spans="1:5" s="9" customFormat="1" ht="13" x14ac:dyDescent="0.15">
      <c r="A232" s="275"/>
      <c r="B232" s="36"/>
      <c r="C232" s="36"/>
      <c r="D232" s="36"/>
      <c r="E232" s="36"/>
    </row>
    <row r="233" spans="1:5" s="9" customFormat="1" ht="13" x14ac:dyDescent="0.15">
      <c r="A233" s="275"/>
      <c r="B233" s="36"/>
      <c r="C233" s="36"/>
      <c r="D233" s="36"/>
      <c r="E233" s="36"/>
    </row>
    <row r="234" spans="1:5" s="9" customFormat="1" ht="13" x14ac:dyDescent="0.15">
      <c r="A234" s="275"/>
      <c r="B234" s="36"/>
      <c r="C234" s="36"/>
      <c r="D234" s="36"/>
      <c r="E234" s="36"/>
    </row>
    <row r="235" spans="1:5" s="9" customFormat="1" ht="13" x14ac:dyDescent="0.15">
      <c r="A235" s="275"/>
      <c r="B235" s="36"/>
      <c r="C235" s="36"/>
      <c r="D235" s="36"/>
      <c r="E235" s="36"/>
    </row>
    <row r="236" spans="1:5" s="9" customFormat="1" ht="13" x14ac:dyDescent="0.15">
      <c r="A236" s="275"/>
      <c r="B236" s="36"/>
      <c r="C236" s="36"/>
      <c r="D236" s="36"/>
      <c r="E236" s="36"/>
    </row>
    <row r="237" spans="1:5" s="9" customFormat="1" ht="13" x14ac:dyDescent="0.15">
      <c r="A237" s="275"/>
      <c r="B237" s="36"/>
      <c r="C237" s="36"/>
      <c r="D237" s="36"/>
      <c r="E237" s="36"/>
    </row>
    <row r="238" spans="1:5" s="9" customFormat="1" ht="13" x14ac:dyDescent="0.15">
      <c r="A238" s="275"/>
      <c r="B238" s="36"/>
      <c r="C238" s="36"/>
      <c r="D238" s="36"/>
      <c r="E238" s="36"/>
    </row>
    <row r="239" spans="1:5" s="9" customFormat="1" ht="13" x14ac:dyDescent="0.15">
      <c r="A239" s="275"/>
      <c r="B239" s="36"/>
      <c r="C239" s="36"/>
      <c r="D239" s="36"/>
      <c r="E239" s="36"/>
    </row>
    <row r="240" spans="1:5" s="9" customFormat="1" ht="13" x14ac:dyDescent="0.15">
      <c r="A240" s="275"/>
      <c r="B240" s="36"/>
      <c r="C240" s="36"/>
      <c r="D240" s="36"/>
      <c r="E240" s="36"/>
    </row>
    <row r="241" spans="1:5" s="9" customFormat="1" ht="13" x14ac:dyDescent="0.15">
      <c r="A241" s="275"/>
      <c r="B241" s="36"/>
      <c r="C241" s="36"/>
      <c r="D241" s="36"/>
      <c r="E241" s="36"/>
    </row>
    <row r="242" spans="1:5" s="9" customFormat="1" ht="13" x14ac:dyDescent="0.15">
      <c r="A242" s="275"/>
      <c r="B242" s="36"/>
      <c r="C242" s="36"/>
      <c r="D242" s="36"/>
      <c r="E242" s="36"/>
    </row>
    <row r="243" spans="1:5" s="9" customFormat="1" ht="13" x14ac:dyDescent="0.15">
      <c r="A243" s="275"/>
      <c r="B243" s="36"/>
      <c r="C243" s="36"/>
      <c r="D243" s="36"/>
      <c r="E243" s="36"/>
    </row>
    <row r="244" spans="1:5" s="9" customFormat="1" ht="13" x14ac:dyDescent="0.15">
      <c r="A244" s="275"/>
      <c r="B244" s="36"/>
      <c r="C244" s="36"/>
      <c r="D244" s="36"/>
      <c r="E244" s="36"/>
    </row>
    <row r="245" spans="1:5" s="9" customFormat="1" ht="13" x14ac:dyDescent="0.15">
      <c r="A245" s="275"/>
      <c r="B245" s="36"/>
      <c r="C245" s="36"/>
      <c r="D245" s="36"/>
      <c r="E245" s="36"/>
    </row>
    <row r="246" spans="1:5" s="9" customFormat="1" ht="13" x14ac:dyDescent="0.15">
      <c r="A246" s="275"/>
      <c r="B246" s="36"/>
      <c r="C246" s="36"/>
      <c r="D246" s="36"/>
      <c r="E246" s="36"/>
    </row>
    <row r="247" spans="1:5" s="9" customFormat="1" ht="13" x14ac:dyDescent="0.15">
      <c r="A247" s="275"/>
      <c r="B247" s="36"/>
      <c r="C247" s="36"/>
      <c r="D247" s="36"/>
      <c r="E247" s="36"/>
    </row>
    <row r="248" spans="1:5" s="9" customFormat="1" ht="13" x14ac:dyDescent="0.15">
      <c r="A248" s="275"/>
      <c r="B248" s="36"/>
      <c r="C248" s="36"/>
      <c r="D248" s="36"/>
      <c r="E248" s="36"/>
    </row>
    <row r="249" spans="1:5" s="9" customFormat="1" ht="13" x14ac:dyDescent="0.15">
      <c r="A249" s="275"/>
      <c r="B249" s="36"/>
      <c r="C249" s="36"/>
      <c r="D249" s="36"/>
      <c r="E249" s="36"/>
    </row>
    <row r="250" spans="1:5" s="9" customFormat="1" ht="13" x14ac:dyDescent="0.15">
      <c r="A250" s="275"/>
      <c r="B250" s="36"/>
      <c r="C250" s="36"/>
      <c r="D250" s="36"/>
      <c r="E250" s="36"/>
    </row>
    <row r="251" spans="1:5" s="9" customFormat="1" ht="13" x14ac:dyDescent="0.15">
      <c r="A251" s="275"/>
      <c r="B251" s="36"/>
      <c r="C251" s="36"/>
      <c r="D251" s="36"/>
      <c r="E251" s="36"/>
    </row>
    <row r="252" spans="1:5" s="9" customFormat="1" ht="13" x14ac:dyDescent="0.15">
      <c r="A252" s="275"/>
      <c r="B252" s="36"/>
      <c r="C252" s="36"/>
      <c r="D252" s="36"/>
      <c r="E252" s="36"/>
    </row>
    <row r="253" spans="1:5" s="9" customFormat="1" ht="13" x14ac:dyDescent="0.15">
      <c r="A253" s="275"/>
      <c r="B253" s="36"/>
      <c r="C253" s="36"/>
      <c r="D253" s="36"/>
      <c r="E253" s="36"/>
    </row>
    <row r="254" spans="1:5" s="9" customFormat="1" ht="13" x14ac:dyDescent="0.15">
      <c r="A254" s="275"/>
      <c r="B254" s="36"/>
      <c r="C254" s="36"/>
      <c r="D254" s="36"/>
      <c r="E254" s="36"/>
    </row>
    <row r="255" spans="1:5" s="9" customFormat="1" ht="13" x14ac:dyDescent="0.15">
      <c r="A255" s="275"/>
      <c r="B255" s="36"/>
      <c r="C255" s="36"/>
      <c r="D255" s="36"/>
      <c r="E255" s="36"/>
    </row>
    <row r="256" spans="1:5" s="9" customFormat="1" ht="13" x14ac:dyDescent="0.15">
      <c r="A256" s="275"/>
      <c r="B256" s="36"/>
      <c r="C256" s="36"/>
      <c r="D256" s="36"/>
      <c r="E256" s="36"/>
    </row>
    <row r="257" spans="1:5" s="9" customFormat="1" ht="13" x14ac:dyDescent="0.15">
      <c r="A257" s="275"/>
      <c r="B257" s="36"/>
      <c r="C257" s="36"/>
      <c r="D257" s="36"/>
      <c r="E257" s="36"/>
    </row>
    <row r="258" spans="1:5" s="9" customFormat="1" ht="13" x14ac:dyDescent="0.15">
      <c r="A258" s="275"/>
      <c r="B258" s="36"/>
      <c r="C258" s="36"/>
      <c r="D258" s="36"/>
      <c r="E258" s="36"/>
    </row>
    <row r="259" spans="1:5" s="9" customFormat="1" ht="13" x14ac:dyDescent="0.15">
      <c r="A259" s="275"/>
      <c r="B259" s="36"/>
      <c r="C259" s="36"/>
      <c r="D259" s="36"/>
      <c r="E259" s="36"/>
    </row>
    <row r="260" spans="1:5" s="9" customFormat="1" ht="13" x14ac:dyDescent="0.15">
      <c r="A260" s="275"/>
      <c r="B260" s="36"/>
      <c r="C260" s="36"/>
      <c r="D260" s="36"/>
      <c r="E260" s="36"/>
    </row>
    <row r="261" spans="1:5" s="9" customFormat="1" ht="13" x14ac:dyDescent="0.15">
      <c r="A261" s="275"/>
      <c r="B261" s="36"/>
      <c r="C261" s="36"/>
      <c r="D261" s="36"/>
      <c r="E261" s="36"/>
    </row>
    <row r="262" spans="1:5" s="9" customFormat="1" ht="13" x14ac:dyDescent="0.15">
      <c r="A262" s="275"/>
      <c r="B262" s="36"/>
      <c r="C262" s="36"/>
      <c r="D262" s="36"/>
      <c r="E262" s="36"/>
    </row>
    <row r="263" spans="1:5" s="9" customFormat="1" ht="13" x14ac:dyDescent="0.15">
      <c r="A263" s="275"/>
      <c r="B263" s="36"/>
      <c r="C263" s="36"/>
      <c r="D263" s="36"/>
      <c r="E263" s="36"/>
    </row>
    <row r="264" spans="1:5" s="9" customFormat="1" ht="13" x14ac:dyDescent="0.15">
      <c r="A264" s="275"/>
      <c r="B264" s="36"/>
      <c r="C264" s="36"/>
      <c r="D264" s="36"/>
      <c r="E264" s="36"/>
    </row>
    <row r="265" spans="1:5" s="9" customFormat="1" ht="13" x14ac:dyDescent="0.15">
      <c r="A265" s="275"/>
      <c r="B265" s="36"/>
      <c r="C265" s="36"/>
      <c r="D265" s="36"/>
      <c r="E265" s="36"/>
    </row>
    <row r="266" spans="1:5" s="9" customFormat="1" ht="13" x14ac:dyDescent="0.15">
      <c r="A266" s="275"/>
      <c r="B266" s="36"/>
      <c r="C266" s="36"/>
      <c r="D266" s="36"/>
      <c r="E266" s="36"/>
    </row>
    <row r="267" spans="1:5" s="9" customFormat="1" ht="13" x14ac:dyDescent="0.15">
      <c r="A267" s="275"/>
      <c r="B267" s="36"/>
      <c r="C267" s="36"/>
      <c r="D267" s="36"/>
      <c r="E267" s="36"/>
    </row>
    <row r="268" spans="1:5" s="9" customFormat="1" ht="13" x14ac:dyDescent="0.15">
      <c r="A268" s="275"/>
      <c r="B268" s="36"/>
      <c r="C268" s="36"/>
      <c r="D268" s="36"/>
      <c r="E268" s="36"/>
    </row>
    <row r="269" spans="1:5" s="9" customFormat="1" ht="13" x14ac:dyDescent="0.15">
      <c r="A269" s="275"/>
      <c r="B269" s="36"/>
      <c r="C269" s="36"/>
      <c r="D269" s="36"/>
      <c r="E269" s="36"/>
    </row>
    <row r="270" spans="1:5" s="9" customFormat="1" ht="13" x14ac:dyDescent="0.15">
      <c r="A270" s="275"/>
      <c r="B270" s="36"/>
      <c r="C270" s="36"/>
      <c r="D270" s="36"/>
      <c r="E270" s="36"/>
    </row>
    <row r="271" spans="1:5" s="9" customFormat="1" ht="13" x14ac:dyDescent="0.15">
      <c r="A271" s="275"/>
      <c r="B271" s="36"/>
      <c r="C271" s="36"/>
      <c r="D271" s="36"/>
      <c r="E271" s="36"/>
    </row>
    <row r="272" spans="1:5" s="9" customFormat="1" ht="13" x14ac:dyDescent="0.15">
      <c r="A272" s="275"/>
      <c r="B272" s="36"/>
      <c r="C272" s="36"/>
      <c r="D272" s="36"/>
      <c r="E272" s="36"/>
    </row>
    <row r="273" spans="1:5" s="9" customFormat="1" ht="13" x14ac:dyDescent="0.15">
      <c r="A273" s="275"/>
      <c r="B273" s="36"/>
      <c r="C273" s="36"/>
      <c r="D273" s="36"/>
      <c r="E273" s="36"/>
    </row>
    <row r="274" spans="1:5" s="9" customFormat="1" ht="13" x14ac:dyDescent="0.15">
      <c r="A274" s="275"/>
      <c r="B274" s="36"/>
      <c r="C274" s="36"/>
      <c r="D274" s="36"/>
      <c r="E274" s="36"/>
    </row>
    <row r="275" spans="1:5" s="9" customFormat="1" ht="13" x14ac:dyDescent="0.15">
      <c r="A275" s="275"/>
      <c r="B275" s="36"/>
      <c r="C275" s="36"/>
      <c r="D275" s="36"/>
      <c r="E275" s="36"/>
    </row>
    <row r="276" spans="1:5" s="9" customFormat="1" ht="13" x14ac:dyDescent="0.15">
      <c r="A276" s="275"/>
      <c r="B276" s="36"/>
      <c r="C276" s="36"/>
      <c r="D276" s="36"/>
      <c r="E276" s="36"/>
    </row>
    <row r="277" spans="1:5" s="9" customFormat="1" ht="13" x14ac:dyDescent="0.15">
      <c r="A277" s="275"/>
      <c r="B277" s="36"/>
      <c r="C277" s="36"/>
      <c r="D277" s="36"/>
      <c r="E277" s="36"/>
    </row>
    <row r="278" spans="1:5" s="9" customFormat="1" ht="13" x14ac:dyDescent="0.15">
      <c r="A278" s="275"/>
      <c r="B278" s="36"/>
      <c r="C278" s="36"/>
      <c r="D278" s="36"/>
      <c r="E278" s="36"/>
    </row>
    <row r="279" spans="1:5" s="9" customFormat="1" ht="13" x14ac:dyDescent="0.15">
      <c r="A279" s="275"/>
      <c r="B279" s="36"/>
      <c r="C279" s="36"/>
      <c r="D279" s="36"/>
      <c r="E279" s="36"/>
    </row>
    <row r="280" spans="1:5" s="9" customFormat="1" ht="13" x14ac:dyDescent="0.15">
      <c r="A280" s="275"/>
      <c r="B280" s="36"/>
      <c r="C280" s="36"/>
      <c r="D280" s="36"/>
      <c r="E280" s="36"/>
    </row>
    <row r="281" spans="1:5" s="9" customFormat="1" ht="13" x14ac:dyDescent="0.15">
      <c r="A281" s="275"/>
      <c r="B281" s="36"/>
      <c r="C281" s="36"/>
      <c r="D281" s="36"/>
      <c r="E281" s="36"/>
    </row>
    <row r="282" spans="1:5" s="9" customFormat="1" ht="13" x14ac:dyDescent="0.15">
      <c r="A282" s="275"/>
      <c r="B282" s="36"/>
      <c r="C282" s="36"/>
      <c r="D282" s="36"/>
      <c r="E282" s="36"/>
    </row>
    <row r="283" spans="1:5" s="9" customFormat="1" ht="13" x14ac:dyDescent="0.15">
      <c r="A283" s="275"/>
      <c r="B283" s="36"/>
      <c r="C283" s="36"/>
      <c r="D283" s="36"/>
      <c r="E283" s="36"/>
    </row>
    <row r="284" spans="1:5" s="9" customFormat="1" ht="13" x14ac:dyDescent="0.15">
      <c r="A284" s="275"/>
      <c r="B284" s="36"/>
      <c r="C284" s="36"/>
      <c r="D284" s="36"/>
      <c r="E284" s="36"/>
    </row>
    <row r="285" spans="1:5" s="9" customFormat="1" ht="13" x14ac:dyDescent="0.15">
      <c r="A285" s="275"/>
      <c r="B285" s="36"/>
      <c r="C285" s="36"/>
      <c r="D285" s="36"/>
      <c r="E285" s="36"/>
    </row>
    <row r="286" spans="1:5" s="9" customFormat="1" ht="13" x14ac:dyDescent="0.15">
      <c r="A286" s="275"/>
      <c r="B286" s="36"/>
      <c r="C286" s="36"/>
      <c r="D286" s="36"/>
      <c r="E286" s="36"/>
    </row>
    <row r="287" spans="1:5" s="9" customFormat="1" ht="13" x14ac:dyDescent="0.15">
      <c r="A287" s="275"/>
      <c r="B287" s="36"/>
      <c r="C287" s="36"/>
      <c r="D287" s="36"/>
      <c r="E287" s="36"/>
    </row>
    <row r="288" spans="1:5" s="9" customFormat="1" ht="13" x14ac:dyDescent="0.15">
      <c r="A288" s="275"/>
      <c r="B288" s="36"/>
      <c r="C288" s="36"/>
      <c r="D288" s="36"/>
      <c r="E288" s="36"/>
    </row>
    <row r="289" spans="1:5" s="9" customFormat="1" ht="13" x14ac:dyDescent="0.15">
      <c r="A289" s="275"/>
      <c r="B289" s="36"/>
      <c r="C289" s="36"/>
      <c r="D289" s="36"/>
      <c r="E289" s="36"/>
    </row>
    <row r="290" spans="1:5" s="9" customFormat="1" ht="13" x14ac:dyDescent="0.15">
      <c r="A290" s="275"/>
      <c r="B290" s="36"/>
      <c r="C290" s="36"/>
      <c r="D290" s="36"/>
      <c r="E290" s="36"/>
    </row>
    <row r="291" spans="1:5" s="9" customFormat="1" ht="13" x14ac:dyDescent="0.15">
      <c r="A291" s="275"/>
      <c r="B291" s="36"/>
      <c r="C291" s="36"/>
      <c r="D291" s="36"/>
      <c r="E291" s="36"/>
    </row>
    <row r="292" spans="1:5" s="9" customFormat="1" ht="13" x14ac:dyDescent="0.15">
      <c r="A292" s="275"/>
      <c r="B292" s="36"/>
      <c r="C292" s="36"/>
      <c r="D292" s="36"/>
      <c r="E292" s="36"/>
    </row>
    <row r="293" spans="1:5" s="9" customFormat="1" ht="13" x14ac:dyDescent="0.15">
      <c r="A293" s="275"/>
      <c r="B293" s="36"/>
      <c r="C293" s="36"/>
      <c r="D293" s="36"/>
      <c r="E293" s="36"/>
    </row>
    <row r="294" spans="1:5" s="9" customFormat="1" ht="13" x14ac:dyDescent="0.15">
      <c r="A294" s="275"/>
      <c r="B294" s="36"/>
      <c r="C294" s="36"/>
      <c r="D294" s="36"/>
      <c r="E294" s="36"/>
    </row>
    <row r="295" spans="1:5" s="9" customFormat="1" ht="13" x14ac:dyDescent="0.15">
      <c r="A295" s="275"/>
      <c r="B295" s="36"/>
      <c r="C295" s="36"/>
      <c r="D295" s="36"/>
      <c r="E295" s="36"/>
    </row>
    <row r="296" spans="1:5" s="9" customFormat="1" ht="13" x14ac:dyDescent="0.15">
      <c r="A296" s="275"/>
      <c r="B296" s="36"/>
      <c r="C296" s="36"/>
      <c r="D296" s="36"/>
      <c r="E296" s="36"/>
    </row>
    <row r="297" spans="1:5" x14ac:dyDescent="0.2">
      <c r="B297" s="36"/>
      <c r="C297" s="36"/>
    </row>
    <row r="298" spans="1:5" x14ac:dyDescent="0.2">
      <c r="B298" s="36"/>
      <c r="C298" s="36"/>
    </row>
    <row r="299" spans="1:5" x14ac:dyDescent="0.2">
      <c r="B299" s="36"/>
      <c r="C299" s="36"/>
    </row>
    <row r="300" spans="1:5" x14ac:dyDescent="0.2">
      <c r="B300" s="36"/>
      <c r="C300" s="36"/>
    </row>
    <row r="301" spans="1:5" x14ac:dyDescent="0.2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7" priority="2" stopIfTrue="1" operator="greaterThan">
      <formula>0</formula>
    </cfRule>
  </conditionalFormatting>
  <conditionalFormatting sqref="B78:D78">
    <cfRule type="cellIs" dxfId="6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G47"/>
  <sheetViews>
    <sheetView tabSelected="1" topLeftCell="O1" zoomScale="136" workbookViewId="0">
      <selection activeCell="Z9" sqref="Z9"/>
    </sheetView>
  </sheetViews>
  <sheetFormatPr baseColWidth="10" defaultColWidth="8.83203125" defaultRowHeight="13" x14ac:dyDescent="0.15"/>
  <cols>
    <col min="1" max="1" width="13.83203125" style="311" customWidth="1"/>
    <col min="2" max="2" width="13.33203125" style="311" customWidth="1"/>
    <col min="3" max="3" width="14.6640625" style="316" customWidth="1"/>
    <col min="4" max="5" width="12.83203125" style="369" customWidth="1"/>
    <col min="6" max="6" width="14.6640625" style="314" customWidth="1"/>
    <col min="7" max="7" width="17.33203125" style="311" customWidth="1"/>
    <col min="8" max="8" width="15.6640625" style="311" customWidth="1"/>
    <col min="9" max="9" width="14.83203125" style="311" customWidth="1"/>
    <col min="10" max="10" width="15.33203125" style="311" customWidth="1"/>
    <col min="11" max="11" width="15.1640625" style="311" customWidth="1"/>
    <col min="12" max="12" width="15.33203125" style="315" customWidth="1"/>
    <col min="13" max="13" width="13.1640625" style="311" customWidth="1"/>
    <col min="14" max="14" width="20.33203125" style="311" customWidth="1"/>
    <col min="15" max="15" width="11.6640625" style="311" customWidth="1"/>
    <col min="16" max="16" width="14.6640625" style="311" customWidth="1"/>
    <col min="17" max="17" width="11.5" style="311" customWidth="1"/>
    <col min="18" max="19" width="10.33203125" style="311" bestFit="1" customWidth="1"/>
    <col min="20" max="20" width="9.5" style="311" bestFit="1" customWidth="1"/>
    <col min="21" max="21" width="8.83203125" style="311"/>
    <col min="22" max="26" width="11.6640625" style="311" bestFit="1" customWidth="1"/>
    <col min="27" max="29" width="8.83203125" style="311"/>
    <col min="30" max="30" width="10.6640625" style="311" bestFit="1" customWidth="1"/>
    <col min="31" max="31" width="9.5" style="311" bestFit="1" customWidth="1"/>
    <col min="32" max="32" width="10.83203125" style="311" bestFit="1" customWidth="1"/>
    <col min="33" max="33" width="10.1640625" style="311" bestFit="1" customWidth="1"/>
    <col min="34" max="16384" width="8.83203125" style="311"/>
  </cols>
  <sheetData>
    <row r="1" spans="1:33" s="302" customFormat="1" ht="28.5" customHeight="1" x14ac:dyDescent="0.15">
      <c r="A1" s="302" t="s">
        <v>246</v>
      </c>
      <c r="B1" s="302" t="s">
        <v>26</v>
      </c>
      <c r="C1" s="303" t="s">
        <v>247</v>
      </c>
      <c r="D1" s="366" t="s">
        <v>300</v>
      </c>
      <c r="E1" s="366" t="s">
        <v>248</v>
      </c>
      <c r="F1" s="304" t="s">
        <v>258</v>
      </c>
      <c r="G1" s="302" t="s">
        <v>259</v>
      </c>
      <c r="H1" s="302" t="s">
        <v>264</v>
      </c>
      <c r="I1" s="302" t="s">
        <v>261</v>
      </c>
      <c r="J1" s="302" t="s">
        <v>262</v>
      </c>
      <c r="K1" s="302" t="s">
        <v>263</v>
      </c>
      <c r="L1" s="302" t="s">
        <v>260</v>
      </c>
      <c r="M1" s="302" t="s">
        <v>265</v>
      </c>
      <c r="N1" s="302" t="s">
        <v>266</v>
      </c>
      <c r="O1" s="302" t="s">
        <v>312</v>
      </c>
      <c r="P1" s="302" t="s">
        <v>302</v>
      </c>
      <c r="Q1" s="302" t="s">
        <v>303</v>
      </c>
      <c r="R1" s="302" t="s">
        <v>304</v>
      </c>
      <c r="S1" s="302" t="s">
        <v>305</v>
      </c>
      <c r="T1" s="302" t="s">
        <v>71</v>
      </c>
      <c r="V1" s="302" t="s">
        <v>302</v>
      </c>
      <c r="W1" s="302" t="s">
        <v>303</v>
      </c>
      <c r="X1" s="302" t="s">
        <v>304</v>
      </c>
      <c r="Y1" s="302" t="s">
        <v>305</v>
      </c>
      <c r="Z1" s="302" t="s">
        <v>71</v>
      </c>
      <c r="AF1" s="302" t="s">
        <v>320</v>
      </c>
      <c r="AG1" s="302" t="s">
        <v>323</v>
      </c>
    </row>
    <row r="2" spans="1:33" s="371" customFormat="1" ht="28.5" customHeight="1" x14ac:dyDescent="0.15">
      <c r="C2" s="372"/>
      <c r="D2" s="373"/>
      <c r="E2" s="373"/>
      <c r="F2" s="374"/>
      <c r="O2" s="371" t="s">
        <v>311</v>
      </c>
      <c r="P2" s="375" t="s">
        <v>306</v>
      </c>
      <c r="Q2" s="375" t="s">
        <v>307</v>
      </c>
      <c r="R2" s="375" t="s">
        <v>308</v>
      </c>
      <c r="S2" s="375" t="s">
        <v>309</v>
      </c>
      <c r="T2" s="375" t="s">
        <v>310</v>
      </c>
      <c r="V2" s="375" t="s">
        <v>313</v>
      </c>
      <c r="W2" s="375" t="s">
        <v>314</v>
      </c>
      <c r="X2" s="375" t="s">
        <v>315</v>
      </c>
      <c r="Y2" s="375" t="s">
        <v>316</v>
      </c>
      <c r="Z2" s="375" t="s">
        <v>317</v>
      </c>
      <c r="AB2" s="371" t="s">
        <v>318</v>
      </c>
      <c r="AC2" s="371" t="s">
        <v>319</v>
      </c>
      <c r="AE2" s="375" t="s">
        <v>321</v>
      </c>
      <c r="AF2" s="375" t="s">
        <v>322</v>
      </c>
      <c r="AG2" s="375" t="s">
        <v>324</v>
      </c>
    </row>
    <row r="3" spans="1:33" x14ac:dyDescent="0.15">
      <c r="A3" s="305" t="s">
        <v>249</v>
      </c>
      <c r="B3" s="306">
        <v>2</v>
      </c>
      <c r="C3" s="307">
        <v>1</v>
      </c>
      <c r="D3" s="367">
        <v>0.27500000000000002</v>
      </c>
      <c r="E3" s="367">
        <f>D3*C3</f>
        <v>0.27500000000000002</v>
      </c>
      <c r="F3" s="308">
        <v>14.398737311215648</v>
      </c>
      <c r="G3" s="309">
        <v>0</v>
      </c>
      <c r="H3" s="305">
        <v>0.32735482252602532</v>
      </c>
      <c r="I3" s="309"/>
      <c r="J3" s="305"/>
      <c r="K3" s="309"/>
      <c r="L3" s="310"/>
      <c r="M3" s="306">
        <v>0</v>
      </c>
      <c r="N3" s="309">
        <v>0</v>
      </c>
      <c r="O3" s="385">
        <f>0.00010477-(0.00000121*B3)</f>
        <v>1.0235000000000001E-4</v>
      </c>
      <c r="P3" s="370">
        <f>(E3*0.38)/(24.6*0.001)</f>
        <v>4.2479674796747968</v>
      </c>
      <c r="Q3" s="370">
        <f>(F3)/(180.165*0.001)</f>
        <v>79.919725314104568</v>
      </c>
      <c r="R3" s="370">
        <f>(G3*0.38)/(59.04*0.001)</f>
        <v>0</v>
      </c>
      <c r="S3" s="370">
        <f>(H3*0.38)/(46.07*0.001)</f>
        <v>2.700126602124802</v>
      </c>
      <c r="T3" s="370">
        <f>(M3)/(105.09*0.001)</f>
        <v>0</v>
      </c>
      <c r="V3" s="390">
        <f>O3*P3</f>
        <v>4.3477947154471548E-4</v>
      </c>
      <c r="W3" s="390">
        <f>O3*Q3</f>
        <v>8.179783885898604E-3</v>
      </c>
      <c r="X3" s="390">
        <f>O3*R3</f>
        <v>0</v>
      </c>
      <c r="Y3" s="390">
        <f>O3*S3</f>
        <v>2.7635795772747352E-4</v>
      </c>
      <c r="Z3" s="390">
        <f>O3*T3</f>
        <v>0</v>
      </c>
    </row>
    <row r="4" spans="1:33" x14ac:dyDescent="0.15">
      <c r="A4" s="305" t="s">
        <v>250</v>
      </c>
      <c r="B4" s="306">
        <v>3.5</v>
      </c>
      <c r="C4" s="307">
        <v>4</v>
      </c>
      <c r="D4" s="367">
        <v>7.1999999999999995E-2</v>
      </c>
      <c r="E4" s="367">
        <f t="shared" ref="E4:E17" si="0">D4*C4</f>
        <v>0.28799999999999998</v>
      </c>
      <c r="F4" s="308">
        <v>14.560410992820007</v>
      </c>
      <c r="G4" s="309">
        <v>0</v>
      </c>
      <c r="H4" s="305">
        <v>0.13742810557058643</v>
      </c>
      <c r="I4" s="309"/>
      <c r="J4" s="305"/>
      <c r="K4" s="309"/>
      <c r="L4" s="312"/>
      <c r="M4" s="306">
        <v>0</v>
      </c>
      <c r="N4" s="309">
        <v>0</v>
      </c>
      <c r="O4" s="385">
        <f t="shared" ref="O4:O15" si="1">0.00010477-(0.00000121*B4)</f>
        <v>1.00535E-4</v>
      </c>
      <c r="P4" s="370">
        <f t="shared" ref="P4:P15" si="2">(E4*0.38)/(24.6*0.001)</f>
        <v>4.4487804878048776</v>
      </c>
      <c r="Q4" s="370">
        <f t="shared" ref="Q4:Q15" si="3">(F4)/(180.165*0.001)</f>
        <v>80.817089849970898</v>
      </c>
      <c r="R4" s="370">
        <f t="shared" ref="R4:R15" si="4">(G4*0.38)/(59.04*0.001)</f>
        <v>0</v>
      </c>
      <c r="S4" s="370">
        <f t="shared" ref="S4:S15" si="5">(H4*0.38)/(46.07*0.001)</f>
        <v>1.1335506862778999</v>
      </c>
      <c r="T4" s="370">
        <f t="shared" ref="T4:T15" si="6">(M4)/(105.09*0.001)</f>
        <v>0</v>
      </c>
      <c r="V4" s="390">
        <f t="shared" ref="V4:V15" si="7">O4*P4</f>
        <v>4.4725814634146338E-4</v>
      </c>
      <c r="W4" s="390">
        <f t="shared" ref="W4:W15" si="8">O4*Q4</f>
        <v>8.1249461280668237E-3</v>
      </c>
      <c r="X4" s="390">
        <f t="shared" ref="X4:X15" si="9">O4*R4</f>
        <v>0</v>
      </c>
      <c r="Y4" s="390">
        <f t="shared" ref="Y4:Y15" si="10">O4*S4</f>
        <v>1.1396151824494867E-4</v>
      </c>
      <c r="Z4" s="390">
        <f t="shared" ref="Z4:Z8" si="11">O4*T4</f>
        <v>0</v>
      </c>
      <c r="AB4" s="387">
        <f>(V4-V3)/(B4-B3)</f>
        <v>8.3191165311652642E-6</v>
      </c>
      <c r="AC4" s="387">
        <f>(W4-W3)/(B4-B3)</f>
        <v>-3.6558505221186838E-5</v>
      </c>
      <c r="AD4" s="389"/>
      <c r="AE4" s="388">
        <f t="shared" ref="AE4:AE15" si="12">AVERAGE(V3:V4)</f>
        <v>4.4101880894308943E-4</v>
      </c>
      <c r="AF4" s="386">
        <f>AC4/AE4</f>
        <v>-8.2895569258826032E-2</v>
      </c>
      <c r="AG4" s="311">
        <f>AB4/AE4</f>
        <v>1.8863405284464389E-2</v>
      </c>
    </row>
    <row r="5" spans="1:33" x14ac:dyDescent="0.15">
      <c r="A5" s="305" t="s">
        <v>251</v>
      </c>
      <c r="B5" s="306">
        <v>5</v>
      </c>
      <c r="C5" s="307">
        <v>10</v>
      </c>
      <c r="D5" s="367">
        <v>9.0999999999999998E-2</v>
      </c>
      <c r="E5" s="367">
        <f t="shared" si="0"/>
        <v>0.90999999999999992</v>
      </c>
      <c r="F5" s="308">
        <v>14.034166872988363</v>
      </c>
      <c r="G5" s="309">
        <v>0.21789730502818364</v>
      </c>
      <c r="H5" s="305">
        <v>0.12524412750174699</v>
      </c>
      <c r="I5" s="309"/>
      <c r="K5" s="309"/>
      <c r="L5" s="312"/>
      <c r="M5" s="306">
        <v>0</v>
      </c>
      <c r="N5" s="309">
        <v>0</v>
      </c>
      <c r="O5" s="385">
        <f t="shared" si="1"/>
        <v>9.8720000000000003E-5</v>
      </c>
      <c r="P5" s="370">
        <f t="shared" si="2"/>
        <v>14.056910569105691</v>
      </c>
      <c r="Q5" s="370">
        <f t="shared" si="3"/>
        <v>77.896188899000165</v>
      </c>
      <c r="R5" s="370">
        <f t="shared" si="4"/>
        <v>1.4024555540431873</v>
      </c>
      <c r="S5" s="370">
        <f t="shared" si="5"/>
        <v>1.0330533633745138</v>
      </c>
      <c r="T5" s="370">
        <f t="shared" si="6"/>
        <v>0</v>
      </c>
      <c r="V5" s="390">
        <f t="shared" si="7"/>
        <v>1.3876982113821138E-3</v>
      </c>
      <c r="W5" s="390">
        <f t="shared" si="8"/>
        <v>7.6899117681092964E-3</v>
      </c>
      <c r="X5" s="390">
        <f t="shared" si="9"/>
        <v>1.3845041229514345E-4</v>
      </c>
      <c r="Y5" s="390">
        <f t="shared" si="10"/>
        <v>1.0198302803233201E-4</v>
      </c>
      <c r="Z5" s="390">
        <f t="shared" si="11"/>
        <v>0</v>
      </c>
      <c r="AB5" s="387">
        <f t="shared" ref="AB5:AB15" si="13">(V5-V4)/(B5-B4)</f>
        <v>6.269600433604336E-4</v>
      </c>
      <c r="AC5" s="387">
        <f t="shared" ref="AC5:AC15" si="14">(W5-W4)/(B5-B4)</f>
        <v>-2.9002290663835149E-4</v>
      </c>
      <c r="AD5" s="389"/>
      <c r="AE5" s="388">
        <f t="shared" si="12"/>
        <v>9.1747817886178855E-4</v>
      </c>
      <c r="AF5" s="386">
        <f t="shared" ref="AF5:AF15" si="15">AC5/AE5</f>
        <v>-0.31610877873755006</v>
      </c>
      <c r="AG5" s="311">
        <f t="shared" ref="AG5:AG15" si="16">AB5/AE5</f>
        <v>0.68335144944616777</v>
      </c>
    </row>
    <row r="6" spans="1:33" x14ac:dyDescent="0.15">
      <c r="A6" s="305" t="s">
        <v>252</v>
      </c>
      <c r="B6" s="306">
        <v>6.5</v>
      </c>
      <c r="C6" s="307">
        <v>10</v>
      </c>
      <c r="D6" s="367">
        <v>0.16400000000000001</v>
      </c>
      <c r="E6" s="367">
        <f t="shared" si="0"/>
        <v>1.6400000000000001</v>
      </c>
      <c r="F6" s="308">
        <v>13.509903441445903</v>
      </c>
      <c r="G6" s="309">
        <v>0.34745786477467117</v>
      </c>
      <c r="H6" s="305">
        <v>0.12470659905753345</v>
      </c>
      <c r="I6" s="309"/>
      <c r="J6" s="305"/>
      <c r="K6" s="309"/>
      <c r="L6" s="312"/>
      <c r="M6" s="306">
        <v>0</v>
      </c>
      <c r="N6" s="309">
        <v>0</v>
      </c>
      <c r="O6" s="385">
        <f t="shared" si="1"/>
        <v>9.6904999999999995E-5</v>
      </c>
      <c r="P6" s="370">
        <f t="shared" si="2"/>
        <v>25.333333333333336</v>
      </c>
      <c r="Q6" s="370">
        <f t="shared" si="3"/>
        <v>74.986281694257514</v>
      </c>
      <c r="R6" s="370">
        <f t="shared" si="4"/>
        <v>2.2363480456364337</v>
      </c>
      <c r="S6" s="370">
        <f t="shared" si="5"/>
        <v>1.0286196579523055</v>
      </c>
      <c r="T6" s="370">
        <f t="shared" si="6"/>
        <v>0</v>
      </c>
      <c r="V6" s="390">
        <f t="shared" si="7"/>
        <v>2.4549266666666668E-3</v>
      </c>
      <c r="W6" s="390">
        <f t="shared" si="8"/>
        <v>7.2665456275820238E-3</v>
      </c>
      <c r="X6" s="390">
        <f t="shared" si="9"/>
        <v>2.167133073623986E-4</v>
      </c>
      <c r="Y6" s="390">
        <f t="shared" si="10"/>
        <v>9.9678387953868158E-5</v>
      </c>
      <c r="Z6" s="390">
        <f t="shared" si="11"/>
        <v>0</v>
      </c>
      <c r="AB6" s="387">
        <f t="shared" si="13"/>
        <v>7.1148563685636873E-4</v>
      </c>
      <c r="AC6" s="387">
        <f t="shared" si="14"/>
        <v>-2.8224409368484842E-4</v>
      </c>
      <c r="AD6" s="389"/>
      <c r="AE6" s="388">
        <f t="shared" si="12"/>
        <v>1.9213124390243903E-3</v>
      </c>
      <c r="AF6" s="386">
        <f t="shared" si="15"/>
        <v>-0.14690171569813348</v>
      </c>
      <c r="AG6" s="311">
        <f t="shared" si="16"/>
        <v>0.3703123044462508</v>
      </c>
    </row>
    <row r="7" spans="1:33" x14ac:dyDescent="0.15">
      <c r="A7" s="305" t="s">
        <v>253</v>
      </c>
      <c r="B7" s="305">
        <v>8</v>
      </c>
      <c r="C7" s="307">
        <v>10</v>
      </c>
      <c r="D7" s="367">
        <v>0.20300000000000001</v>
      </c>
      <c r="E7" s="367">
        <f t="shared" si="0"/>
        <v>2.0300000000000002</v>
      </c>
      <c r="F7" s="308">
        <v>11.940084179252292</v>
      </c>
      <c r="G7" s="309">
        <v>0.29473625171765894</v>
      </c>
      <c r="H7" s="305">
        <v>0.10750568884270126</v>
      </c>
      <c r="I7" s="309"/>
      <c r="J7" s="305"/>
      <c r="K7" s="309"/>
      <c r="L7" s="312"/>
      <c r="M7" s="306">
        <v>0.4</v>
      </c>
      <c r="N7" s="309">
        <v>0</v>
      </c>
      <c r="O7" s="385">
        <f t="shared" si="1"/>
        <v>9.5089999999999999E-5</v>
      </c>
      <c r="P7" s="370">
        <f t="shared" si="2"/>
        <v>31.357723577235774</v>
      </c>
      <c r="Q7" s="370">
        <f t="shared" si="3"/>
        <v>66.273050699371652</v>
      </c>
      <c r="R7" s="370">
        <f t="shared" si="4"/>
        <v>1.8970151702694849</v>
      </c>
      <c r="S7" s="370">
        <f t="shared" si="5"/>
        <v>0.88674108444164268</v>
      </c>
      <c r="T7" s="370">
        <f t="shared" si="6"/>
        <v>3.8062612998382339</v>
      </c>
      <c r="V7" s="390">
        <f t="shared" si="7"/>
        <v>2.9818059349593497E-3</v>
      </c>
      <c r="W7" s="390">
        <f t="shared" si="8"/>
        <v>6.3019043910032503E-3</v>
      </c>
      <c r="X7" s="390">
        <f t="shared" si="9"/>
        <v>1.8038717254092532E-4</v>
      </c>
      <c r="Y7" s="390">
        <f t="shared" si="10"/>
        <v>8.4320209719555801E-5</v>
      </c>
      <c r="Z7" s="390">
        <f t="shared" si="11"/>
        <v>3.6193738700161766E-4</v>
      </c>
      <c r="AB7" s="387">
        <f t="shared" si="13"/>
        <v>3.5125284552845523E-4</v>
      </c>
      <c r="AC7" s="387">
        <f t="shared" si="14"/>
        <v>-6.4309415771918231E-4</v>
      </c>
      <c r="AD7" s="389"/>
      <c r="AE7" s="388">
        <f t="shared" si="12"/>
        <v>2.718366300813008E-3</v>
      </c>
      <c r="AF7" s="386">
        <f t="shared" si="15"/>
        <v>-0.23657376768055355</v>
      </c>
      <c r="AG7" s="311">
        <f t="shared" si="16"/>
        <v>0.12921468509354411</v>
      </c>
    </row>
    <row r="8" spans="1:33" x14ac:dyDescent="0.15">
      <c r="A8" s="305" t="s">
        <v>254</v>
      </c>
      <c r="B8" s="305">
        <v>9.5</v>
      </c>
      <c r="C8" s="307">
        <v>10</v>
      </c>
      <c r="D8" s="367">
        <v>0.252</v>
      </c>
      <c r="E8" s="367">
        <f t="shared" si="0"/>
        <v>2.52</v>
      </c>
      <c r="F8" s="308">
        <v>11.385243872245606</v>
      </c>
      <c r="G8" s="309">
        <v>0.25211026669284048</v>
      </c>
      <c r="H8" s="305">
        <v>8.5287846481876331E-2</v>
      </c>
      <c r="I8" s="309"/>
      <c r="J8" s="305"/>
      <c r="K8" s="309"/>
      <c r="L8" s="312"/>
      <c r="M8" s="306">
        <v>0.6</v>
      </c>
      <c r="N8" s="309">
        <v>0</v>
      </c>
      <c r="O8" s="385">
        <f t="shared" si="1"/>
        <v>9.3275000000000004E-5</v>
      </c>
      <c r="P8" s="370">
        <f t="shared" si="2"/>
        <v>38.926829268292686</v>
      </c>
      <c r="Q8" s="370">
        <f t="shared" si="3"/>
        <v>63.193427537233127</v>
      </c>
      <c r="R8" s="370">
        <f t="shared" si="4"/>
        <v>1.6226609306111006</v>
      </c>
      <c r="S8" s="370">
        <f t="shared" si="5"/>
        <v>0.70348126032370317</v>
      </c>
      <c r="T8" s="370">
        <f t="shared" si="6"/>
        <v>5.7093919497573502</v>
      </c>
      <c r="V8" s="390">
        <f t="shared" si="7"/>
        <v>3.6309000000000003E-3</v>
      </c>
      <c r="W8" s="390">
        <f t="shared" si="8"/>
        <v>5.8943669535354206E-3</v>
      </c>
      <c r="X8" s="390">
        <f t="shared" si="9"/>
        <v>1.5135369830275041E-4</v>
      </c>
      <c r="Y8" s="390">
        <f t="shared" si="10"/>
        <v>6.5617214556693422E-5</v>
      </c>
      <c r="Z8" s="390">
        <f t="shared" si="11"/>
        <v>5.3254353411361685E-4</v>
      </c>
      <c r="AB8" s="387">
        <f t="shared" si="13"/>
        <v>4.3272937669376708E-4</v>
      </c>
      <c r="AC8" s="387">
        <f t="shared" si="14"/>
        <v>-2.7169162497855313E-4</v>
      </c>
      <c r="AD8" s="389"/>
      <c r="AE8" s="388">
        <f t="shared" si="12"/>
        <v>3.3063529674796747E-3</v>
      </c>
      <c r="AF8" s="386">
        <f t="shared" si="15"/>
        <v>-8.2172601549451274E-2</v>
      </c>
      <c r="AG8" s="311">
        <f t="shared" si="16"/>
        <v>0.13087815516067622</v>
      </c>
    </row>
    <row r="9" spans="1:33" x14ac:dyDescent="0.15">
      <c r="A9" s="305" t="s">
        <v>255</v>
      </c>
      <c r="B9" s="313">
        <v>11</v>
      </c>
      <c r="C9" s="307">
        <v>10</v>
      </c>
      <c r="D9" s="367">
        <v>0.28100000000000003</v>
      </c>
      <c r="E9" s="367">
        <f t="shared" si="0"/>
        <v>2.8100000000000005</v>
      </c>
      <c r="F9" s="314">
        <v>10.99863827680119</v>
      </c>
      <c r="G9" s="309">
        <v>0.29221234470961049</v>
      </c>
      <c r="H9" s="305">
        <v>9.3350773145078933E-2</v>
      </c>
      <c r="I9" s="309"/>
      <c r="J9" s="305"/>
      <c r="K9" s="309"/>
      <c r="L9" s="312"/>
      <c r="M9" s="305"/>
      <c r="N9" s="309">
        <v>0</v>
      </c>
      <c r="O9" s="385">
        <f t="shared" si="1"/>
        <v>9.1459999999999995E-5</v>
      </c>
      <c r="P9" s="370">
        <f t="shared" si="2"/>
        <v>43.406504065040664</v>
      </c>
      <c r="Q9" s="370">
        <f t="shared" si="3"/>
        <v>61.047585695341439</v>
      </c>
      <c r="R9" s="370">
        <f t="shared" si="4"/>
        <v>1.8807705113423439</v>
      </c>
      <c r="S9" s="370">
        <f t="shared" si="5"/>
        <v>0.7699868416568264</v>
      </c>
      <c r="T9" s="370"/>
      <c r="V9" s="390">
        <f t="shared" si="7"/>
        <v>3.9699588617886188E-3</v>
      </c>
      <c r="W9" s="390">
        <f t="shared" si="8"/>
        <v>5.5834121876959276E-3</v>
      </c>
      <c r="X9" s="390">
        <f t="shared" si="9"/>
        <v>1.7201527096737075E-4</v>
      </c>
      <c r="Y9" s="390">
        <f t="shared" si="10"/>
        <v>7.0422996537933334E-5</v>
      </c>
      <c r="Z9" s="390"/>
      <c r="AB9" s="387">
        <f t="shared" si="13"/>
        <v>2.2603924119241232E-4</v>
      </c>
      <c r="AC9" s="387">
        <f t="shared" si="14"/>
        <v>-2.0730317722632863E-4</v>
      </c>
      <c r="AD9" s="389"/>
      <c r="AE9" s="388">
        <f t="shared" si="12"/>
        <v>3.8004294308943095E-3</v>
      </c>
      <c r="AF9" s="386">
        <f t="shared" si="15"/>
        <v>-5.4547303402380627E-2</v>
      </c>
      <c r="AG9" s="311">
        <f t="shared" si="16"/>
        <v>5.9477289422848516E-2</v>
      </c>
    </row>
    <row r="10" spans="1:33" x14ac:dyDescent="0.15">
      <c r="A10" s="305" t="s">
        <v>256</v>
      </c>
      <c r="B10" s="313">
        <v>12.5</v>
      </c>
      <c r="C10" s="307">
        <v>10</v>
      </c>
      <c r="D10" s="367">
        <v>0.33</v>
      </c>
      <c r="E10" s="367">
        <f t="shared" si="0"/>
        <v>3.3000000000000003</v>
      </c>
      <c r="F10" s="314">
        <v>9.9882396632829913</v>
      </c>
      <c r="G10" s="305">
        <v>0.26781457696514205</v>
      </c>
      <c r="H10" s="305">
        <v>7.5970686782175556E-2</v>
      </c>
      <c r="I10" s="309"/>
      <c r="J10" s="305"/>
      <c r="K10" s="309"/>
      <c r="L10" s="312"/>
      <c r="M10" s="305">
        <v>1.6</v>
      </c>
      <c r="N10" s="309">
        <v>0</v>
      </c>
      <c r="O10" s="385">
        <f t="shared" si="1"/>
        <v>8.9645E-5</v>
      </c>
      <c r="P10" s="370">
        <f t="shared" si="2"/>
        <v>50.975609756097569</v>
      </c>
      <c r="Q10" s="370">
        <f t="shared" si="3"/>
        <v>55.439400900746492</v>
      </c>
      <c r="R10" s="370">
        <f t="shared" si="4"/>
        <v>1.7237388083799794</v>
      </c>
      <c r="S10" s="370">
        <f t="shared" si="5"/>
        <v>0.6266303663387609</v>
      </c>
      <c r="T10" s="370">
        <f t="shared" si="6"/>
        <v>15.225045199352936</v>
      </c>
      <c r="V10" s="390">
        <f t="shared" si="7"/>
        <v>4.5697085365853669E-3</v>
      </c>
      <c r="W10" s="390">
        <f t="shared" si="8"/>
        <v>4.9698650937474191E-3</v>
      </c>
      <c r="X10" s="390">
        <f t="shared" si="9"/>
        <v>1.5452456547722325E-4</v>
      </c>
      <c r="Y10" s="390">
        <f t="shared" si="10"/>
        <v>5.6174279190438219E-5</v>
      </c>
      <c r="Z10" s="390">
        <f t="shared" ref="Z9:Z14" si="17">O10*T10</f>
        <v>1.364849176895994E-3</v>
      </c>
      <c r="AB10" s="387">
        <f t="shared" si="13"/>
        <v>3.9983311653116541E-4</v>
      </c>
      <c r="AC10" s="387">
        <f t="shared" si="14"/>
        <v>-4.0903139596567238E-4</v>
      </c>
      <c r="AD10" s="389"/>
      <c r="AE10" s="388">
        <f t="shared" si="12"/>
        <v>4.2698336991869928E-3</v>
      </c>
      <c r="AF10" s="386">
        <f t="shared" si="15"/>
        <v>-9.5795626898432809E-2</v>
      </c>
      <c r="AG10" s="311">
        <f t="shared" si="16"/>
        <v>9.3641379196406763E-2</v>
      </c>
    </row>
    <row r="11" spans="1:33" x14ac:dyDescent="0.15">
      <c r="A11" s="305" t="s">
        <v>257</v>
      </c>
      <c r="B11" s="305">
        <v>14</v>
      </c>
      <c r="C11" s="307">
        <v>10</v>
      </c>
      <c r="D11" s="367">
        <v>0.38400000000000001</v>
      </c>
      <c r="E11" s="367">
        <f t="shared" si="0"/>
        <v>3.84</v>
      </c>
      <c r="F11" s="314">
        <v>8.702401584550632</v>
      </c>
      <c r="G11" s="305">
        <v>0.24285594099666283</v>
      </c>
      <c r="H11" s="305">
        <v>0.12614000824210281</v>
      </c>
      <c r="I11" s="309"/>
      <c r="J11" s="305"/>
      <c r="K11" s="309"/>
      <c r="L11" s="312"/>
      <c r="M11" s="313"/>
      <c r="N11" s="309">
        <v>0</v>
      </c>
      <c r="O11" s="385">
        <f t="shared" si="1"/>
        <v>8.7830000000000004E-5</v>
      </c>
      <c r="P11" s="370">
        <f t="shared" si="2"/>
        <v>59.31707317073171</v>
      </c>
      <c r="Q11" s="370">
        <f t="shared" si="3"/>
        <v>48.302398271310366</v>
      </c>
      <c r="R11" s="370">
        <f t="shared" si="4"/>
        <v>1.5630971812115833</v>
      </c>
      <c r="S11" s="370">
        <f t="shared" si="5"/>
        <v>1.0404428724115273</v>
      </c>
      <c r="T11" s="370"/>
      <c r="V11" s="390">
        <f t="shared" si="7"/>
        <v>5.2098185365853662E-3</v>
      </c>
      <c r="W11" s="390">
        <f t="shared" si="8"/>
        <v>4.2423996401691894E-3</v>
      </c>
      <c r="X11" s="390">
        <f t="shared" si="9"/>
        <v>1.3728682542581337E-4</v>
      </c>
      <c r="Y11" s="390">
        <f t="shared" si="10"/>
        <v>9.1382097483904453E-5</v>
      </c>
      <c r="Z11" s="390"/>
      <c r="AB11" s="387">
        <f t="shared" si="13"/>
        <v>4.2673999999999951E-4</v>
      </c>
      <c r="AC11" s="387">
        <f t="shared" si="14"/>
        <v>-4.8497696905215316E-4</v>
      </c>
      <c r="AD11" s="389"/>
      <c r="AE11" s="388">
        <f t="shared" si="12"/>
        <v>4.8897635365853665E-3</v>
      </c>
      <c r="AF11" s="386">
        <f t="shared" si="15"/>
        <v>-9.9182090386076963E-2</v>
      </c>
      <c r="AG11" s="311">
        <f t="shared" si="16"/>
        <v>8.7272113836817919E-2</v>
      </c>
    </row>
    <row r="12" spans="1:33" x14ac:dyDescent="0.15">
      <c r="A12" s="305" t="s">
        <v>294</v>
      </c>
      <c r="B12" s="305">
        <v>16</v>
      </c>
      <c r="C12" s="309">
        <v>20</v>
      </c>
      <c r="D12" s="367">
        <v>0.22600000000000001</v>
      </c>
      <c r="E12" s="367">
        <f t="shared" si="0"/>
        <v>4.5200000000000005</v>
      </c>
      <c r="F12" s="314">
        <v>7.0548403070066863</v>
      </c>
      <c r="G12" s="305">
        <v>0.33539919795843964</v>
      </c>
      <c r="H12" s="305">
        <v>9.3350773145078933E-2</v>
      </c>
      <c r="I12" s="305"/>
      <c r="J12" s="305"/>
      <c r="K12" s="305"/>
      <c r="M12" s="313">
        <v>3.4</v>
      </c>
      <c r="N12" s="309">
        <v>0</v>
      </c>
      <c r="O12" s="385">
        <f t="shared" si="1"/>
        <v>8.5409999999999997E-5</v>
      </c>
      <c r="P12" s="370">
        <f t="shared" si="2"/>
        <v>69.82113821138212</v>
      </c>
      <c r="Q12" s="370">
        <f t="shared" si="3"/>
        <v>39.157662736972703</v>
      </c>
      <c r="R12" s="370">
        <f t="shared" si="4"/>
        <v>2.1587346752067593</v>
      </c>
      <c r="S12" s="370">
        <f t="shared" si="5"/>
        <v>0.7699868416568264</v>
      </c>
      <c r="T12" s="370">
        <f t="shared" si="6"/>
        <v>32.353221048624988</v>
      </c>
      <c r="V12" s="390">
        <f t="shared" si="7"/>
        <v>5.9634234146341463E-3</v>
      </c>
      <c r="W12" s="390">
        <f t="shared" si="8"/>
        <v>3.3444559743648385E-3</v>
      </c>
      <c r="X12" s="390">
        <f t="shared" si="9"/>
        <v>1.8437752860940931E-4</v>
      </c>
      <c r="Y12" s="390">
        <f t="shared" si="10"/>
        <v>6.5764576145909534E-5</v>
      </c>
      <c r="Z12" s="390">
        <f t="shared" si="17"/>
        <v>2.76328860976306E-3</v>
      </c>
      <c r="AB12" s="387">
        <f t="shared" si="13"/>
        <v>3.7680243902439006E-4</v>
      </c>
      <c r="AC12" s="387">
        <f t="shared" si="14"/>
        <v>-4.4897183290217545E-4</v>
      </c>
      <c r="AD12" s="389"/>
      <c r="AE12" s="388">
        <f t="shared" si="12"/>
        <v>5.5866209756097567E-3</v>
      </c>
      <c r="AF12" s="386">
        <f t="shared" si="15"/>
        <v>-8.0365543834512956E-2</v>
      </c>
      <c r="AG12" s="311">
        <f t="shared" si="16"/>
        <v>6.7447288919267268E-2</v>
      </c>
    </row>
    <row r="13" spans="1:33" x14ac:dyDescent="0.15">
      <c r="A13" s="305" t="s">
        <v>295</v>
      </c>
      <c r="B13" s="305">
        <v>18</v>
      </c>
      <c r="C13" s="309">
        <v>20</v>
      </c>
      <c r="D13" s="367">
        <v>0.28000000000000003</v>
      </c>
      <c r="E13" s="367">
        <f t="shared" si="0"/>
        <v>5.6000000000000005</v>
      </c>
      <c r="F13" s="314">
        <v>5.0045803416687304</v>
      </c>
      <c r="G13" s="305">
        <v>0.33567963207044504</v>
      </c>
      <c r="H13" s="305">
        <v>0</v>
      </c>
      <c r="I13" s="305"/>
      <c r="J13" s="305"/>
      <c r="K13" s="305"/>
      <c r="M13" s="305"/>
      <c r="N13" s="309">
        <v>0</v>
      </c>
      <c r="O13" s="385">
        <f t="shared" si="1"/>
        <v>8.2990000000000003E-5</v>
      </c>
      <c r="P13" s="370">
        <f t="shared" si="2"/>
        <v>86.504065040650417</v>
      </c>
      <c r="Q13" s="370">
        <f t="shared" si="3"/>
        <v>27.77776117264025</v>
      </c>
      <c r="R13" s="370">
        <f t="shared" si="4"/>
        <v>2.1605396373097747</v>
      </c>
      <c r="S13" s="370">
        <f t="shared" si="5"/>
        <v>0</v>
      </c>
      <c r="T13" s="370"/>
      <c r="V13" s="390">
        <f t="shared" si="7"/>
        <v>7.1789723577235787E-3</v>
      </c>
      <c r="W13" s="390">
        <f t="shared" si="8"/>
        <v>2.3052763997174143E-3</v>
      </c>
      <c r="X13" s="390">
        <f t="shared" si="9"/>
        <v>1.793031845003382E-4</v>
      </c>
      <c r="Y13" s="390">
        <f t="shared" si="10"/>
        <v>0</v>
      </c>
      <c r="Z13" s="390"/>
      <c r="AB13" s="387">
        <f t="shared" si="13"/>
        <v>6.077744715447162E-4</v>
      </c>
      <c r="AC13" s="387">
        <f t="shared" si="14"/>
        <v>-5.1958978732371207E-4</v>
      </c>
      <c r="AD13" s="389"/>
      <c r="AE13" s="388">
        <f t="shared" si="12"/>
        <v>6.571197886178862E-3</v>
      </c>
      <c r="AF13" s="386">
        <f t="shared" si="15"/>
        <v>-7.907078683729192E-2</v>
      </c>
      <c r="AG13" s="311">
        <f t="shared" si="16"/>
        <v>9.2490666400876845E-2</v>
      </c>
    </row>
    <row r="14" spans="1:33" x14ac:dyDescent="0.15">
      <c r="A14" s="305" t="s">
        <v>296</v>
      </c>
      <c r="B14" s="305">
        <v>20</v>
      </c>
      <c r="C14" s="309">
        <v>20</v>
      </c>
      <c r="D14" s="367">
        <v>0.308</v>
      </c>
      <c r="E14" s="367">
        <f t="shared" si="0"/>
        <v>6.16</v>
      </c>
      <c r="F14" s="314">
        <v>2.2931418667987127</v>
      </c>
      <c r="G14" s="305">
        <v>0.36708825261504807</v>
      </c>
      <c r="H14" s="305">
        <v>0</v>
      </c>
      <c r="I14" s="305"/>
      <c r="J14" s="305"/>
      <c r="K14" s="305"/>
      <c r="M14" s="305">
        <v>5.2</v>
      </c>
      <c r="N14" s="309">
        <v>0</v>
      </c>
      <c r="O14" s="385">
        <f t="shared" si="1"/>
        <v>8.0569999999999996E-5</v>
      </c>
      <c r="P14" s="370">
        <f t="shared" si="2"/>
        <v>95.154471544715449</v>
      </c>
      <c r="Q14" s="370">
        <f t="shared" si="3"/>
        <v>12.728009695549707</v>
      </c>
      <c r="R14" s="370">
        <f t="shared" si="4"/>
        <v>2.3626953928475318</v>
      </c>
      <c r="S14" s="370">
        <f t="shared" si="5"/>
        <v>0</v>
      </c>
      <c r="T14" s="370">
        <f t="shared" si="6"/>
        <v>49.481396897897042</v>
      </c>
      <c r="V14" s="390">
        <f t="shared" si="7"/>
        <v>7.6665957723577229E-3</v>
      </c>
      <c r="W14" s="390">
        <f t="shared" si="8"/>
        <v>1.0254957411704399E-3</v>
      </c>
      <c r="X14" s="390">
        <f t="shared" si="9"/>
        <v>1.9036236780172562E-4</v>
      </c>
      <c r="Y14" s="390">
        <f t="shared" si="10"/>
        <v>0</v>
      </c>
      <c r="Z14" s="390">
        <f t="shared" si="17"/>
        <v>3.9867161480635644E-3</v>
      </c>
      <c r="AB14" s="387">
        <f t="shared" si="13"/>
        <v>2.4381170731707213E-4</v>
      </c>
      <c r="AC14" s="387">
        <f t="shared" si="14"/>
        <v>-6.3989032927348722E-4</v>
      </c>
      <c r="AD14" s="389"/>
      <c r="AE14" s="388">
        <f t="shared" si="12"/>
        <v>7.4227840650406508E-3</v>
      </c>
      <c r="AF14" s="386">
        <f t="shared" si="15"/>
        <v>-8.6206243326840321E-2</v>
      </c>
      <c r="AG14" s="311">
        <f t="shared" si="16"/>
        <v>3.2846396336027171E-2</v>
      </c>
    </row>
    <row r="15" spans="1:33" x14ac:dyDescent="0.15">
      <c r="A15" s="305" t="s">
        <v>297</v>
      </c>
      <c r="B15" s="305">
        <v>23</v>
      </c>
      <c r="C15" s="309">
        <v>40</v>
      </c>
      <c r="D15" s="367">
        <v>0.215</v>
      </c>
      <c r="E15" s="367">
        <f t="shared" si="0"/>
        <v>8.6</v>
      </c>
      <c r="F15" s="314">
        <v>5.3602376825947019E-2</v>
      </c>
      <c r="G15" s="305">
        <v>0.37297736896716116</v>
      </c>
      <c r="H15" s="305">
        <v>0</v>
      </c>
      <c r="I15" s="305"/>
      <c r="J15" s="305"/>
      <c r="K15" s="305"/>
      <c r="M15" s="305">
        <v>7.6</v>
      </c>
      <c r="N15" s="309">
        <v>0</v>
      </c>
      <c r="O15" s="385">
        <f t="shared" si="1"/>
        <v>7.6940000000000005E-5</v>
      </c>
      <c r="P15" s="370">
        <f t="shared" si="2"/>
        <v>132.84552845528455</v>
      </c>
      <c r="Q15" s="370">
        <f t="shared" si="3"/>
        <v>0.29751825729718323</v>
      </c>
      <c r="R15" s="370">
        <f t="shared" si="4"/>
        <v>2.4005995970108609</v>
      </c>
      <c r="S15" s="370">
        <f t="shared" si="5"/>
        <v>0</v>
      </c>
      <c r="T15" s="370">
        <f t="shared" si="6"/>
        <v>72.318964696926443</v>
      </c>
      <c r="V15" s="390">
        <f t="shared" si="7"/>
        <v>1.0221134959349594E-2</v>
      </c>
      <c r="W15" s="390">
        <f t="shared" si="8"/>
        <v>2.2891054716445281E-5</v>
      </c>
      <c r="X15" s="390">
        <f t="shared" si="9"/>
        <v>1.8470213299401564E-4</v>
      </c>
      <c r="Y15" s="390">
        <f t="shared" si="10"/>
        <v>0</v>
      </c>
      <c r="Z15" s="390">
        <f t="shared" ref="Z15" si="18">O15*T15</f>
        <v>5.5642211437815208E-3</v>
      </c>
      <c r="AB15" s="387">
        <f t="shared" si="13"/>
        <v>8.5151306233062377E-4</v>
      </c>
      <c r="AC15" s="387">
        <f t="shared" si="14"/>
        <v>-3.3420156215133151E-4</v>
      </c>
      <c r="AD15" s="389"/>
      <c r="AE15" s="388">
        <f t="shared" si="12"/>
        <v>8.9438653658536586E-3</v>
      </c>
      <c r="AF15" s="386">
        <f t="shared" si="15"/>
        <v>-3.7366568981154744E-2</v>
      </c>
      <c r="AG15" s="311">
        <f t="shared" si="16"/>
        <v>9.5206381972337523E-2</v>
      </c>
    </row>
    <row r="16" spans="1:33" s="382" customFormat="1" x14ac:dyDescent="0.15">
      <c r="A16" s="376" t="s">
        <v>298</v>
      </c>
      <c r="B16" s="376">
        <v>40.5</v>
      </c>
      <c r="C16" s="377">
        <v>40</v>
      </c>
      <c r="D16" s="378">
        <v>0.20200000000000001</v>
      </c>
      <c r="E16" s="378">
        <f t="shared" si="0"/>
        <v>8.08</v>
      </c>
      <c r="F16" s="379">
        <v>5.8058925476603122E-2</v>
      </c>
      <c r="G16" s="376">
        <v>0.22995597184441516</v>
      </c>
      <c r="H16" s="376">
        <v>0</v>
      </c>
      <c r="I16" s="376"/>
      <c r="J16" s="376"/>
      <c r="K16" s="376"/>
      <c r="L16" s="380"/>
      <c r="M16" s="376"/>
      <c r="N16" s="376"/>
      <c r="O16" s="376"/>
      <c r="P16" s="381"/>
      <c r="Q16" s="376"/>
      <c r="R16" s="376"/>
      <c r="S16" s="376"/>
      <c r="T16" s="376"/>
    </row>
    <row r="17" spans="1:20" s="382" customFormat="1" x14ac:dyDescent="0.15">
      <c r="A17" s="376" t="s">
        <v>299</v>
      </c>
      <c r="B17" s="376">
        <v>43.5</v>
      </c>
      <c r="C17" s="377">
        <v>40</v>
      </c>
      <c r="D17" s="378">
        <v>0.18</v>
      </c>
      <c r="E17" s="378">
        <f t="shared" si="0"/>
        <v>7.1999999999999993</v>
      </c>
      <c r="F17" s="379">
        <v>5.0136172319881163E-2</v>
      </c>
      <c r="G17" s="376">
        <v>0.18620825037157521</v>
      </c>
      <c r="H17" s="376">
        <v>0</v>
      </c>
      <c r="I17" s="376"/>
      <c r="J17" s="376"/>
      <c r="K17" s="376"/>
      <c r="L17" s="380"/>
      <c r="M17" s="376"/>
      <c r="N17" s="376"/>
      <c r="O17" s="376"/>
      <c r="P17" s="381"/>
      <c r="Q17" s="376"/>
      <c r="R17" s="376"/>
      <c r="S17" s="376"/>
      <c r="T17" s="376"/>
    </row>
    <row r="18" spans="1:20" x14ac:dyDescent="0.15">
      <c r="A18" s="305"/>
      <c r="B18" s="305"/>
      <c r="C18" s="309"/>
      <c r="D18" s="367"/>
      <c r="E18" s="367"/>
      <c r="I18" s="305"/>
      <c r="J18" s="305"/>
      <c r="K18" s="305"/>
      <c r="M18" s="305"/>
      <c r="N18" s="305"/>
      <c r="O18" s="305"/>
      <c r="P18" s="305"/>
      <c r="Q18" s="305"/>
      <c r="R18" s="305"/>
      <c r="S18" s="305"/>
      <c r="T18" s="305"/>
    </row>
    <row r="19" spans="1:20" x14ac:dyDescent="0.15">
      <c r="A19" s="305"/>
      <c r="B19" s="305"/>
      <c r="C19" s="309"/>
      <c r="D19" s="367"/>
      <c r="E19" s="367"/>
      <c r="I19" s="305"/>
      <c r="J19" s="305"/>
      <c r="K19" s="305"/>
      <c r="M19" s="305"/>
      <c r="N19" s="305"/>
      <c r="O19" s="305"/>
      <c r="P19" s="305"/>
      <c r="Q19" s="305"/>
      <c r="R19" s="305"/>
      <c r="S19" s="305"/>
      <c r="T19" s="305"/>
    </row>
    <row r="20" spans="1:20" x14ac:dyDescent="0.15">
      <c r="A20" s="305"/>
      <c r="B20" s="305"/>
      <c r="C20" s="309"/>
      <c r="D20" s="367"/>
      <c r="E20" s="367"/>
      <c r="G20" s="305"/>
      <c r="H20" s="305"/>
      <c r="I20" s="305"/>
      <c r="J20" s="305"/>
      <c r="K20" s="305"/>
      <c r="M20" s="305"/>
      <c r="N20" s="305"/>
      <c r="O20" s="391">
        <f>O15*0.021</f>
        <v>1.6157400000000003E-6</v>
      </c>
      <c r="P20" s="305"/>
      <c r="Q20" s="305"/>
      <c r="R20" s="305"/>
      <c r="S20" s="305"/>
      <c r="T20" s="305"/>
    </row>
    <row r="21" spans="1:20" x14ac:dyDescent="0.15">
      <c r="A21" s="305"/>
      <c r="B21" s="305"/>
      <c r="C21" s="309"/>
      <c r="D21" s="367"/>
      <c r="E21" s="367"/>
      <c r="G21" s="305"/>
      <c r="H21" s="305"/>
      <c r="I21" s="305"/>
      <c r="J21" s="305"/>
      <c r="K21" s="305"/>
      <c r="M21" s="305"/>
      <c r="N21" s="305"/>
      <c r="O21" s="305"/>
      <c r="P21" s="305"/>
      <c r="Q21" s="305"/>
      <c r="R21" s="305"/>
      <c r="S21" s="305"/>
      <c r="T21" s="305"/>
    </row>
    <row r="22" spans="1:20" x14ac:dyDescent="0.15">
      <c r="A22" s="305"/>
      <c r="B22" s="305"/>
      <c r="C22" s="309"/>
      <c r="D22" s="367"/>
      <c r="E22" s="367"/>
      <c r="G22" s="305"/>
      <c r="H22" s="305"/>
      <c r="I22" s="305"/>
      <c r="J22" s="305"/>
      <c r="K22" s="305"/>
      <c r="M22" s="305"/>
      <c r="N22" s="305"/>
      <c r="O22" s="305"/>
      <c r="P22" s="305"/>
      <c r="Q22" s="305"/>
      <c r="R22" s="305"/>
      <c r="S22" s="305"/>
      <c r="T22" s="305"/>
    </row>
    <row r="23" spans="1:20" x14ac:dyDescent="0.15">
      <c r="A23" s="305"/>
      <c r="B23" s="305"/>
      <c r="C23" s="309"/>
      <c r="D23" s="368"/>
      <c r="E23" s="368"/>
      <c r="G23" s="305"/>
      <c r="H23" s="305"/>
      <c r="I23" s="305"/>
      <c r="J23" s="305"/>
      <c r="K23" s="305"/>
      <c r="M23" s="305"/>
      <c r="N23" s="305"/>
      <c r="O23" s="305"/>
      <c r="P23" s="305"/>
      <c r="Q23" s="305"/>
      <c r="R23" s="305"/>
      <c r="S23" s="305"/>
      <c r="T23" s="305"/>
    </row>
    <row r="24" spans="1:20" x14ac:dyDescent="0.15">
      <c r="A24" s="305"/>
      <c r="B24" s="305"/>
      <c r="C24" s="309"/>
      <c r="D24" s="368"/>
      <c r="E24" s="368"/>
      <c r="G24" s="305"/>
      <c r="H24" s="305"/>
      <c r="I24" s="305"/>
      <c r="J24" s="305"/>
      <c r="K24" s="305"/>
      <c r="M24" s="305"/>
      <c r="N24" s="305"/>
      <c r="O24" s="305"/>
      <c r="P24" s="305"/>
      <c r="Q24" s="305"/>
      <c r="R24" s="305"/>
      <c r="S24" s="305"/>
      <c r="T24" s="305"/>
    </row>
    <row r="25" spans="1:20" x14ac:dyDescent="0.15">
      <c r="A25" s="305"/>
      <c r="B25" s="305"/>
      <c r="C25" s="309"/>
      <c r="D25" s="368"/>
      <c r="E25" s="368"/>
      <c r="G25" s="305"/>
      <c r="H25" s="305"/>
      <c r="I25" s="305"/>
      <c r="J25" s="305"/>
      <c r="K25" s="305"/>
      <c r="M25" s="305"/>
      <c r="N25" s="305"/>
      <c r="O25" s="305"/>
      <c r="P25" s="305"/>
      <c r="Q25" s="305"/>
      <c r="R25" s="305"/>
      <c r="S25" s="305"/>
      <c r="T25" s="305"/>
    </row>
    <row r="26" spans="1:20" x14ac:dyDescent="0.15">
      <c r="A26" s="305"/>
      <c r="B26" s="305"/>
      <c r="C26" s="309"/>
      <c r="D26" s="368"/>
      <c r="E26" s="368"/>
      <c r="G26" s="305"/>
      <c r="H26" s="305"/>
      <c r="I26" s="305"/>
      <c r="J26" s="305"/>
      <c r="K26" s="305"/>
      <c r="M26" s="305"/>
      <c r="N26" s="305"/>
      <c r="O26" s="305"/>
      <c r="P26" s="305"/>
      <c r="Q26" s="305"/>
      <c r="R26" s="305"/>
      <c r="S26" s="305"/>
      <c r="T26" s="305"/>
    </row>
    <row r="27" spans="1:20" x14ac:dyDescent="0.15">
      <c r="A27" s="305"/>
      <c r="B27" s="305"/>
      <c r="C27" s="309"/>
      <c r="D27" s="368"/>
      <c r="E27" s="368"/>
      <c r="G27" s="305"/>
      <c r="H27" s="305"/>
      <c r="I27" s="305"/>
      <c r="J27" s="305"/>
      <c r="K27" s="305"/>
      <c r="M27" s="305"/>
      <c r="N27" s="305"/>
      <c r="O27" s="305"/>
      <c r="P27" s="305"/>
      <c r="Q27" s="305"/>
      <c r="R27" s="305"/>
      <c r="S27" s="305"/>
      <c r="T27" s="370">
        <f>(M27*0.38)/(105.09*0.001)</f>
        <v>0</v>
      </c>
    </row>
    <row r="28" spans="1:20" x14ac:dyDescent="0.15">
      <c r="A28" s="305"/>
      <c r="B28" s="305"/>
      <c r="C28" s="309"/>
      <c r="D28" s="368"/>
      <c r="E28" s="368"/>
      <c r="G28" s="305"/>
      <c r="H28" s="305"/>
      <c r="I28" s="305"/>
      <c r="J28" s="305"/>
      <c r="K28" s="305"/>
      <c r="M28" s="305"/>
      <c r="N28" s="305"/>
      <c r="O28" s="305"/>
      <c r="P28" s="305"/>
      <c r="Q28" s="305"/>
      <c r="R28" s="305"/>
      <c r="S28" s="305"/>
      <c r="T28" s="305"/>
    </row>
    <row r="29" spans="1:20" x14ac:dyDescent="0.15">
      <c r="A29" s="305"/>
      <c r="B29" s="305"/>
      <c r="C29" s="309"/>
      <c r="D29" s="368"/>
      <c r="E29" s="368"/>
      <c r="G29" s="305"/>
      <c r="H29" s="305"/>
      <c r="I29" s="305"/>
      <c r="J29" s="305"/>
      <c r="K29" s="305"/>
      <c r="M29" s="305"/>
      <c r="N29" s="305"/>
      <c r="O29" s="305"/>
      <c r="P29" s="305"/>
      <c r="Q29" s="305"/>
      <c r="R29" s="305"/>
      <c r="S29" s="305"/>
      <c r="T29" s="305"/>
    </row>
    <row r="30" spans="1:20" x14ac:dyDescent="0.15">
      <c r="A30" s="305"/>
      <c r="B30" s="305"/>
      <c r="C30" s="309"/>
      <c r="D30" s="368"/>
      <c r="E30" s="368"/>
      <c r="G30" s="305"/>
      <c r="H30" s="305"/>
      <c r="I30" s="305"/>
      <c r="J30" s="305"/>
      <c r="K30" s="305"/>
      <c r="M30" s="305"/>
      <c r="N30" s="305"/>
      <c r="O30" s="305"/>
      <c r="P30" s="305"/>
      <c r="Q30" s="305"/>
      <c r="R30" s="305"/>
      <c r="S30" s="305"/>
      <c r="T30" s="305"/>
    </row>
    <row r="31" spans="1:20" x14ac:dyDescent="0.15">
      <c r="A31" s="305"/>
      <c r="B31" s="305"/>
      <c r="C31" s="309"/>
      <c r="D31" s="368"/>
      <c r="E31" s="368"/>
      <c r="G31" s="305"/>
      <c r="H31" s="305"/>
      <c r="I31" s="305"/>
      <c r="J31" s="305"/>
      <c r="K31" s="305"/>
      <c r="M31" s="305"/>
      <c r="N31" s="305"/>
      <c r="O31" s="305"/>
      <c r="P31" s="305"/>
      <c r="Q31" s="305"/>
      <c r="R31" s="305"/>
      <c r="S31" s="305"/>
      <c r="T31" s="305"/>
    </row>
    <row r="32" spans="1:20" x14ac:dyDescent="0.15">
      <c r="A32" s="305"/>
      <c r="B32" s="305"/>
      <c r="C32" s="309"/>
      <c r="D32" s="368"/>
      <c r="E32" s="368"/>
      <c r="G32" s="305"/>
      <c r="H32" s="305"/>
      <c r="I32" s="305"/>
      <c r="J32" s="305"/>
      <c r="K32" s="305"/>
      <c r="M32" s="305"/>
      <c r="N32" s="305"/>
      <c r="O32" s="305"/>
      <c r="P32" s="305"/>
      <c r="Q32" s="305"/>
      <c r="R32" s="305"/>
      <c r="S32" s="305"/>
      <c r="T32" s="305"/>
    </row>
    <row r="33" spans="1:20" x14ac:dyDescent="0.15">
      <c r="A33" s="305"/>
      <c r="B33" s="305"/>
      <c r="C33" s="309"/>
      <c r="D33" s="368"/>
      <c r="E33" s="368"/>
      <c r="G33" s="305"/>
      <c r="H33" s="305"/>
      <c r="I33" s="305"/>
      <c r="J33" s="305"/>
      <c r="K33" s="305"/>
      <c r="M33" s="305"/>
      <c r="N33" s="305"/>
      <c r="O33" s="305"/>
      <c r="P33" s="305"/>
      <c r="Q33" s="305"/>
      <c r="R33" s="305"/>
      <c r="S33" s="305"/>
      <c r="T33" s="305"/>
    </row>
    <row r="34" spans="1:20" x14ac:dyDescent="0.15">
      <c r="A34" s="305"/>
      <c r="B34" s="305"/>
      <c r="C34" s="309"/>
      <c r="D34" s="368"/>
      <c r="E34" s="368"/>
      <c r="G34" s="305"/>
      <c r="H34" s="305"/>
      <c r="I34" s="305"/>
      <c r="J34" s="305"/>
      <c r="K34" s="305"/>
      <c r="M34" s="305"/>
      <c r="N34" s="305"/>
      <c r="O34" s="305"/>
      <c r="P34" s="305"/>
      <c r="Q34" s="305"/>
      <c r="R34" s="305"/>
      <c r="S34" s="305"/>
      <c r="T34" s="305"/>
    </row>
    <row r="35" spans="1:20" x14ac:dyDescent="0.15">
      <c r="A35" s="305"/>
      <c r="B35" s="305"/>
      <c r="C35" s="309"/>
      <c r="D35" s="368"/>
      <c r="E35" s="368"/>
      <c r="G35" s="305"/>
      <c r="H35" s="305"/>
      <c r="I35" s="305"/>
      <c r="J35" s="305"/>
      <c r="K35" s="305"/>
      <c r="M35" s="305"/>
      <c r="N35" s="305"/>
      <c r="O35" s="305"/>
      <c r="P35" s="305"/>
      <c r="Q35" s="305"/>
      <c r="R35" s="305"/>
      <c r="S35" s="305"/>
      <c r="T35" s="305"/>
    </row>
    <row r="36" spans="1:20" x14ac:dyDescent="0.15">
      <c r="A36" s="305"/>
      <c r="B36" s="305"/>
      <c r="C36" s="309"/>
      <c r="D36" s="368"/>
      <c r="E36" s="368"/>
      <c r="G36" s="305"/>
      <c r="H36" s="305"/>
      <c r="I36" s="305"/>
      <c r="J36" s="305"/>
      <c r="K36" s="305"/>
      <c r="M36" s="305"/>
      <c r="N36" s="305"/>
      <c r="O36" s="305"/>
      <c r="P36" s="305"/>
      <c r="Q36" s="305"/>
      <c r="R36" s="305"/>
      <c r="S36" s="305"/>
      <c r="T36" s="305"/>
    </row>
    <row r="37" spans="1:20" x14ac:dyDescent="0.15">
      <c r="A37" s="305"/>
      <c r="B37" s="305"/>
      <c r="C37" s="309"/>
      <c r="D37" s="368"/>
      <c r="E37" s="368"/>
      <c r="G37" s="305"/>
      <c r="H37" s="305"/>
      <c r="I37" s="305"/>
      <c r="J37" s="305"/>
      <c r="K37" s="305"/>
      <c r="M37" s="305"/>
      <c r="N37" s="305"/>
      <c r="O37" s="305"/>
      <c r="P37" s="305"/>
      <c r="Q37" s="305"/>
      <c r="R37" s="305"/>
      <c r="S37" s="305"/>
      <c r="T37" s="305"/>
    </row>
    <row r="38" spans="1:20" x14ac:dyDescent="0.15">
      <c r="A38" s="305"/>
      <c r="B38" s="305"/>
      <c r="C38" s="309"/>
      <c r="D38" s="368"/>
      <c r="E38" s="368"/>
      <c r="G38" s="305"/>
      <c r="H38" s="305"/>
      <c r="I38" s="305"/>
      <c r="J38" s="305"/>
      <c r="K38" s="305"/>
      <c r="M38" s="305"/>
      <c r="N38" s="305"/>
      <c r="O38" s="305"/>
      <c r="P38" s="305"/>
      <c r="Q38" s="305"/>
      <c r="R38" s="305"/>
      <c r="S38" s="305"/>
      <c r="T38" s="305"/>
    </row>
    <row r="39" spans="1:20" x14ac:dyDescent="0.15">
      <c r="A39" s="305"/>
      <c r="B39" s="305"/>
      <c r="C39" s="309"/>
      <c r="D39" s="368"/>
      <c r="E39" s="368"/>
      <c r="G39" s="305"/>
      <c r="H39" s="305"/>
      <c r="I39" s="305"/>
      <c r="J39" s="305"/>
      <c r="K39" s="305"/>
      <c r="M39" s="305"/>
      <c r="N39" s="305"/>
      <c r="O39" s="305"/>
      <c r="P39" s="305"/>
      <c r="Q39" s="305"/>
      <c r="R39" s="305"/>
      <c r="S39" s="305"/>
      <c r="T39" s="305"/>
    </row>
    <row r="40" spans="1:20" x14ac:dyDescent="0.15">
      <c r="A40" s="305"/>
      <c r="B40" s="305"/>
      <c r="C40" s="309"/>
      <c r="D40" s="368"/>
      <c r="E40" s="368"/>
      <c r="G40" s="305"/>
      <c r="H40" s="305"/>
      <c r="I40" s="305"/>
      <c r="J40" s="305"/>
      <c r="K40" s="305"/>
      <c r="M40" s="305"/>
      <c r="N40" s="305"/>
      <c r="O40" s="305"/>
      <c r="P40" s="305"/>
      <c r="Q40" s="305"/>
      <c r="R40" s="305"/>
      <c r="S40" s="305"/>
      <c r="T40" s="305"/>
    </row>
    <row r="41" spans="1:20" x14ac:dyDescent="0.15">
      <c r="A41" s="305"/>
      <c r="B41" s="305"/>
      <c r="C41" s="309"/>
      <c r="D41" s="368"/>
      <c r="E41" s="368"/>
      <c r="G41" s="305"/>
      <c r="H41" s="305"/>
      <c r="I41" s="305"/>
      <c r="J41" s="305"/>
      <c r="K41" s="305"/>
      <c r="M41" s="305"/>
      <c r="N41" s="305"/>
      <c r="O41" s="305"/>
      <c r="P41" s="305"/>
      <c r="Q41" s="305"/>
      <c r="R41" s="305"/>
      <c r="S41" s="305"/>
      <c r="T41" s="305"/>
    </row>
    <row r="42" spans="1:20" x14ac:dyDescent="0.15">
      <c r="A42" s="305"/>
      <c r="B42" s="305"/>
      <c r="C42" s="309"/>
      <c r="D42" s="368"/>
      <c r="E42" s="368"/>
      <c r="G42" s="305"/>
      <c r="H42" s="305"/>
      <c r="I42" s="305"/>
      <c r="J42" s="305"/>
      <c r="K42" s="305"/>
      <c r="M42" s="305"/>
      <c r="N42" s="305"/>
      <c r="O42" s="305"/>
      <c r="P42" s="305"/>
      <c r="Q42" s="305"/>
      <c r="R42" s="305"/>
      <c r="S42" s="305"/>
      <c r="T42" s="305"/>
    </row>
    <row r="43" spans="1:20" x14ac:dyDescent="0.15">
      <c r="A43" s="305"/>
      <c r="B43" s="305"/>
      <c r="C43" s="309"/>
      <c r="D43" s="368"/>
      <c r="E43" s="368"/>
      <c r="G43" s="305"/>
      <c r="H43" s="305"/>
      <c r="I43" s="305"/>
      <c r="J43" s="305"/>
      <c r="K43" s="305"/>
      <c r="M43" s="305"/>
      <c r="N43" s="305"/>
      <c r="O43" s="305"/>
      <c r="P43" s="305"/>
      <c r="Q43" s="305"/>
      <c r="R43" s="305"/>
      <c r="S43" s="305"/>
      <c r="T43" s="305"/>
    </row>
    <row r="44" spans="1:20" x14ac:dyDescent="0.15">
      <c r="A44" s="305"/>
      <c r="B44" s="305"/>
      <c r="C44" s="309"/>
      <c r="D44" s="368"/>
      <c r="E44" s="368"/>
      <c r="G44" s="305"/>
      <c r="H44" s="305"/>
      <c r="I44" s="305"/>
      <c r="J44" s="305"/>
      <c r="K44" s="305"/>
      <c r="M44" s="305"/>
      <c r="N44" s="305"/>
      <c r="O44" s="305"/>
      <c r="P44" s="305"/>
      <c r="Q44" s="305"/>
      <c r="R44" s="305"/>
      <c r="S44" s="305"/>
      <c r="T44" s="305"/>
    </row>
    <row r="45" spans="1:20" x14ac:dyDescent="0.15">
      <c r="A45" s="305"/>
      <c r="B45" s="305"/>
      <c r="C45" s="309"/>
      <c r="D45" s="368"/>
      <c r="E45" s="368"/>
      <c r="G45" s="305"/>
      <c r="H45" s="305"/>
      <c r="I45" s="305"/>
      <c r="J45" s="305"/>
      <c r="K45" s="305"/>
      <c r="M45" s="305"/>
      <c r="N45" s="305"/>
      <c r="O45" s="305"/>
      <c r="P45" s="305"/>
      <c r="Q45" s="305"/>
      <c r="R45" s="305"/>
      <c r="S45" s="305"/>
      <c r="T45" s="305"/>
    </row>
    <row r="46" spans="1:20" x14ac:dyDescent="0.15">
      <c r="A46" s="305"/>
      <c r="B46" s="305"/>
      <c r="C46" s="309"/>
      <c r="D46" s="368"/>
      <c r="E46" s="368"/>
      <c r="G46" s="305"/>
      <c r="H46" s="305"/>
      <c r="I46" s="305"/>
      <c r="J46" s="305"/>
      <c r="K46" s="305"/>
      <c r="M46" s="305"/>
      <c r="N46" s="305"/>
      <c r="O46" s="305"/>
      <c r="P46" s="305"/>
      <c r="Q46" s="305"/>
      <c r="R46" s="305"/>
      <c r="S46" s="305"/>
      <c r="T46" s="305"/>
    </row>
    <row r="47" spans="1:20" x14ac:dyDescent="0.15">
      <c r="A47" s="305"/>
      <c r="B47" s="305"/>
      <c r="C47" s="309"/>
      <c r="D47" s="368"/>
      <c r="E47" s="368"/>
      <c r="G47" s="305"/>
      <c r="H47" s="305"/>
      <c r="I47" s="305"/>
      <c r="J47" s="305"/>
      <c r="K47" s="305"/>
      <c r="M47" s="305"/>
      <c r="N47" s="305"/>
      <c r="O47" s="305"/>
      <c r="P47" s="305"/>
      <c r="Q47" s="305"/>
      <c r="R47" s="305"/>
      <c r="S47" s="305"/>
      <c r="T47" s="305"/>
    </row>
  </sheetData>
  <sheetProtection selectLockedCells="1"/>
  <phoneticPr fontId="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N2460"/>
  <sheetViews>
    <sheetView topLeftCell="E1" zoomScale="135" workbookViewId="0">
      <selection activeCell="L6" sqref="L6"/>
    </sheetView>
  </sheetViews>
  <sheetFormatPr baseColWidth="10" defaultColWidth="8.83203125" defaultRowHeight="13" x14ac:dyDescent="0.15"/>
  <cols>
    <col min="1" max="1" width="23.33203125" style="329" customWidth="1"/>
    <col min="2" max="2" width="19.83203125" style="329" bestFit="1" customWidth="1"/>
    <col min="3" max="3" width="16" style="329" bestFit="1" customWidth="1"/>
    <col min="4" max="4" width="17.1640625" style="329" bestFit="1" customWidth="1"/>
    <col min="5" max="5" width="25" style="329" bestFit="1" customWidth="1"/>
    <col min="6" max="6" width="16.83203125" style="329" bestFit="1" customWidth="1"/>
    <col min="7" max="7" width="15.1640625" style="329" bestFit="1" customWidth="1"/>
    <col min="8" max="8" width="15.6640625" style="329" bestFit="1" customWidth="1"/>
    <col min="9" max="9" width="21.6640625" style="329" bestFit="1" customWidth="1"/>
    <col min="10" max="10" width="23.33203125" style="329" bestFit="1" customWidth="1"/>
    <col min="11" max="11" width="16.33203125" style="329" bestFit="1" customWidth="1"/>
    <col min="12" max="12" width="13.33203125" style="329" bestFit="1" customWidth="1"/>
    <col min="13" max="13" width="8.83203125" style="329" bestFit="1" customWidth="1"/>
    <col min="14" max="14" width="8.33203125" style="329" bestFit="1" customWidth="1"/>
    <col min="15" max="15" width="17.33203125" style="324" bestFit="1" customWidth="1"/>
    <col min="16" max="16" width="13" style="324" bestFit="1" customWidth="1"/>
    <col min="17" max="21" width="8.83203125" style="324"/>
    <col min="22" max="22" width="9.1640625" style="324" customWidth="1"/>
    <col min="23" max="23" width="8.83203125" style="324"/>
    <col min="24" max="24" width="10.33203125" style="324" bestFit="1" customWidth="1"/>
    <col min="25" max="25" width="11.1640625" style="324" customWidth="1"/>
    <col min="26" max="27" width="9.1640625" style="324" customWidth="1"/>
    <col min="28" max="28" width="8.83203125" style="324"/>
    <col min="29" max="29" width="10.1640625" style="324" customWidth="1"/>
    <col min="30" max="30" width="11.1640625" style="324" bestFit="1" customWidth="1"/>
    <col min="31" max="31" width="8.33203125" style="324" customWidth="1"/>
    <col min="32" max="32" width="9.1640625" style="324" customWidth="1"/>
    <col min="33" max="33" width="8.83203125" style="324"/>
    <col min="34" max="34" width="9.1640625" style="324" customWidth="1"/>
    <col min="35" max="35" width="9.1640625" style="324" hidden="1" customWidth="1"/>
    <col min="36" max="37" width="8.33203125" style="324" customWidth="1"/>
    <col min="38" max="38" width="12.6640625" style="324" bestFit="1" customWidth="1"/>
    <col min="39" max="39" width="11.1640625" style="324" bestFit="1" customWidth="1"/>
    <col min="40" max="40" width="10.1640625" style="324" bestFit="1" customWidth="1"/>
    <col min="41" max="16384" width="8.83203125" style="324"/>
  </cols>
  <sheetData>
    <row r="1" spans="1:39" s="317" customFormat="1" ht="16" x14ac:dyDescent="0.2">
      <c r="A1" s="317" t="s">
        <v>49</v>
      </c>
      <c r="B1" s="318" t="s">
        <v>65</v>
      </c>
      <c r="C1" s="318" t="s">
        <v>267</v>
      </c>
      <c r="D1" s="318" t="s">
        <v>268</v>
      </c>
      <c r="E1" s="318" t="s">
        <v>270</v>
      </c>
      <c r="F1" s="318" t="s">
        <v>271</v>
      </c>
      <c r="G1" s="318" t="s">
        <v>1</v>
      </c>
      <c r="H1" s="318" t="s">
        <v>66</v>
      </c>
      <c r="I1" s="318" t="s">
        <v>272</v>
      </c>
      <c r="J1" s="318" t="s">
        <v>67</v>
      </c>
      <c r="K1" s="318" t="s">
        <v>273</v>
      </c>
      <c r="L1" s="318" t="s">
        <v>273</v>
      </c>
      <c r="M1" s="318"/>
      <c r="N1" s="318"/>
      <c r="O1" s="318"/>
      <c r="AI1" s="322"/>
    </row>
    <row r="2" spans="1:39" s="317" customFormat="1" ht="16" x14ac:dyDescent="0.2">
      <c r="B2" s="318" t="s">
        <v>68</v>
      </c>
      <c r="C2" s="318"/>
      <c r="D2" s="318"/>
      <c r="E2" s="318" t="s">
        <v>70</v>
      </c>
      <c r="F2" s="318"/>
      <c r="G2" s="318"/>
      <c r="H2" s="318"/>
      <c r="I2" s="318" t="s">
        <v>274</v>
      </c>
      <c r="J2" s="318" t="s">
        <v>69</v>
      </c>
      <c r="K2" s="318" t="s">
        <v>269</v>
      </c>
      <c r="L2" s="383" t="s">
        <v>311</v>
      </c>
      <c r="M2" s="318"/>
      <c r="N2" s="318"/>
      <c r="O2" s="318"/>
      <c r="AI2" s="323"/>
      <c r="AL2" s="321"/>
    </row>
    <row r="3" spans="1:39" ht="16.5" customHeight="1" x14ac:dyDescent="0.2">
      <c r="A3" s="319">
        <v>43117.770833333336</v>
      </c>
      <c r="B3" s="320">
        <v>0</v>
      </c>
      <c r="C3" s="320" t="s">
        <v>301</v>
      </c>
      <c r="D3" s="320">
        <v>100.082108572149</v>
      </c>
      <c r="E3" s="320">
        <v>4.7510363670509901E-4</v>
      </c>
      <c r="F3" s="320" t="s">
        <v>301</v>
      </c>
      <c r="G3" s="320">
        <v>6.4447909272687403</v>
      </c>
      <c r="H3" s="320" t="s">
        <v>301</v>
      </c>
      <c r="I3" s="320">
        <v>1499.9685395679401</v>
      </c>
      <c r="J3" s="320">
        <v>37.001632389495697</v>
      </c>
      <c r="K3" s="320">
        <v>0.96124657137170799</v>
      </c>
      <c r="L3" s="384">
        <f>K3*10^-6</f>
        <v>9.6124657137170798E-7</v>
      </c>
      <c r="M3" s="320"/>
      <c r="N3" s="320"/>
      <c r="O3" s="321"/>
      <c r="P3" s="321"/>
      <c r="AI3" s="325"/>
      <c r="AL3" s="326"/>
      <c r="AM3" s="326"/>
    </row>
    <row r="4" spans="1:39" x14ac:dyDescent="0.15">
      <c r="A4" s="319">
        <v>43117.791666666664</v>
      </c>
      <c r="B4" s="320">
        <v>0.5</v>
      </c>
      <c r="C4" s="320" t="s">
        <v>301</v>
      </c>
      <c r="D4" s="320">
        <v>100.28648679266099</v>
      </c>
      <c r="E4" s="320">
        <v>1.6708422854385001E-4</v>
      </c>
      <c r="F4" s="320" t="s">
        <v>301</v>
      </c>
      <c r="G4" s="320">
        <v>6.8047837931089799</v>
      </c>
      <c r="H4" s="320" t="s">
        <v>301</v>
      </c>
      <c r="I4" s="320">
        <v>1500.0024438753501</v>
      </c>
      <c r="J4" s="320">
        <v>36.998607837125597</v>
      </c>
      <c r="K4" s="320">
        <v>1.28955103293691</v>
      </c>
      <c r="L4" s="384">
        <f t="shared" ref="L4:L67" si="0">K4*10^-6</f>
        <v>1.2895510329369099E-6</v>
      </c>
      <c r="M4" s="320"/>
      <c r="N4" s="320"/>
      <c r="O4" s="321"/>
      <c r="P4" s="321"/>
      <c r="AL4" s="326"/>
      <c r="AM4" s="326"/>
    </row>
    <row r="5" spans="1:39" x14ac:dyDescent="0.15">
      <c r="A5" s="319">
        <v>43117.8125</v>
      </c>
      <c r="B5" s="320">
        <v>1</v>
      </c>
      <c r="C5" s="320">
        <v>7.2234744036881002</v>
      </c>
      <c r="D5" s="320">
        <v>98.317271161400498</v>
      </c>
      <c r="E5" s="320">
        <v>5.7652946640603898E-3</v>
      </c>
      <c r="F5" s="320">
        <v>64.354050672519307</v>
      </c>
      <c r="G5" s="320">
        <v>6.9678748328751201</v>
      </c>
      <c r="H5" s="320">
        <v>0.10711002801578701</v>
      </c>
      <c r="I5" s="320">
        <v>1500.06493269881</v>
      </c>
      <c r="J5" s="320">
        <v>37.004058022771403</v>
      </c>
      <c r="K5" s="320">
        <v>16.689712060613299</v>
      </c>
      <c r="L5" s="384">
        <f t="shared" si="0"/>
        <v>1.6689712060613298E-5</v>
      </c>
      <c r="M5" s="320"/>
      <c r="N5" s="320"/>
      <c r="O5" s="321"/>
      <c r="P5" s="321"/>
      <c r="AL5" s="326"/>
      <c r="AM5" s="326"/>
    </row>
    <row r="6" spans="1:39" x14ac:dyDescent="0.15">
      <c r="A6" s="319">
        <v>43117.833333333336</v>
      </c>
      <c r="B6" s="320">
        <v>1.5</v>
      </c>
      <c r="C6" s="320">
        <v>7.4526365505475098</v>
      </c>
      <c r="D6" s="320">
        <v>96.670158401842798</v>
      </c>
      <c r="E6" s="320">
        <v>8.6651573512441706E-3</v>
      </c>
      <c r="F6" s="320">
        <v>68.206521205593106</v>
      </c>
      <c r="G6" s="320">
        <v>7.0235959964874999</v>
      </c>
      <c r="H6" s="320">
        <v>0.10785149791694899</v>
      </c>
      <c r="I6" s="320">
        <v>1500.0417015390899</v>
      </c>
      <c r="J6" s="320">
        <v>37.008660932804098</v>
      </c>
      <c r="K6" s="320">
        <v>103.029776153637</v>
      </c>
      <c r="L6" s="384">
        <f t="shared" si="0"/>
        <v>1.03029776153637E-4</v>
      </c>
      <c r="M6" s="320"/>
      <c r="N6" s="320"/>
      <c r="O6" s="321"/>
      <c r="P6" s="321"/>
      <c r="AL6" s="326"/>
      <c r="AM6" s="326"/>
    </row>
    <row r="7" spans="1:39" x14ac:dyDescent="0.15">
      <c r="A7" s="319">
        <v>43117.854166666664</v>
      </c>
      <c r="B7" s="320">
        <v>2</v>
      </c>
      <c r="C7" s="320">
        <v>10.8081344968961</v>
      </c>
      <c r="D7" s="320">
        <v>95.569057981561201</v>
      </c>
      <c r="E7" s="320">
        <v>1.25042279051382E-2</v>
      </c>
      <c r="F7" s="320">
        <v>74.8748855883685</v>
      </c>
      <c r="G7" s="320">
        <v>6.9859307196314502</v>
      </c>
      <c r="H7" s="320">
        <v>0.14409191209786201</v>
      </c>
      <c r="I7" s="320">
        <v>1500.1913270638599</v>
      </c>
      <c r="J7" s="320">
        <v>37.007350320887703</v>
      </c>
      <c r="K7" s="320">
        <v>102.875258068059</v>
      </c>
      <c r="L7" s="384">
        <f t="shared" si="0"/>
        <v>1.0287525806805899E-4</v>
      </c>
      <c r="M7" s="320"/>
      <c r="N7" s="320"/>
      <c r="O7" s="321"/>
      <c r="P7" s="321"/>
      <c r="AL7" s="326"/>
      <c r="AM7" s="326"/>
    </row>
    <row r="8" spans="1:39" x14ac:dyDescent="0.15">
      <c r="A8" s="319">
        <v>43117.875</v>
      </c>
      <c r="B8" s="320">
        <v>2.5</v>
      </c>
      <c r="C8" s="320">
        <v>16.917175384211099</v>
      </c>
      <c r="D8" s="320">
        <v>93.397955637443005</v>
      </c>
      <c r="E8" s="320">
        <v>1.9571992585007698E-2</v>
      </c>
      <c r="F8" s="320">
        <v>87.953872172688605</v>
      </c>
      <c r="G8" s="320">
        <v>7.0265236062699197</v>
      </c>
      <c r="H8" s="320">
        <v>0.19020469675055299</v>
      </c>
      <c r="I8" s="320">
        <v>1499.75551640462</v>
      </c>
      <c r="J8" s="320">
        <v>36.998373642410201</v>
      </c>
      <c r="K8" s="320">
        <v>102.87370844196001</v>
      </c>
      <c r="L8" s="384">
        <f t="shared" si="0"/>
        <v>1.0287370844196001E-4</v>
      </c>
      <c r="M8" s="320"/>
      <c r="N8" s="320"/>
      <c r="O8" s="321"/>
      <c r="P8" s="321"/>
      <c r="AL8" s="326"/>
      <c r="AM8" s="326"/>
    </row>
    <row r="9" spans="1:39" x14ac:dyDescent="0.15">
      <c r="A9" s="319">
        <v>43117.895833333336</v>
      </c>
      <c r="B9" s="320">
        <v>3</v>
      </c>
      <c r="C9" s="320">
        <v>29.795433942014501</v>
      </c>
      <c r="D9" s="320">
        <v>90.410549102598196</v>
      </c>
      <c r="E9" s="320">
        <v>3.4925752009572798E-2</v>
      </c>
      <c r="F9" s="320">
        <v>110.777561571948</v>
      </c>
      <c r="G9" s="320">
        <v>7.0243748340046199</v>
      </c>
      <c r="H9" s="320">
        <v>0.26989462368230999</v>
      </c>
      <c r="I9" s="320">
        <v>1499.79252237786</v>
      </c>
      <c r="J9" s="320">
        <v>37.005644789020998</v>
      </c>
      <c r="K9" s="320">
        <v>100.896332943125</v>
      </c>
      <c r="L9" s="384">
        <f t="shared" si="0"/>
        <v>1.0089633294312499E-4</v>
      </c>
      <c r="M9" s="320"/>
      <c r="N9" s="320"/>
      <c r="O9" s="321"/>
      <c r="P9" s="321"/>
      <c r="AI9" s="326"/>
      <c r="AL9" s="326"/>
      <c r="AM9" s="326"/>
    </row>
    <row r="10" spans="1:39" x14ac:dyDescent="0.15">
      <c r="A10" s="319">
        <v>43117.916666666664</v>
      </c>
      <c r="B10" s="320">
        <v>3.5</v>
      </c>
      <c r="C10" s="320">
        <v>55.727677944502098</v>
      </c>
      <c r="D10" s="320">
        <v>85.911794504477399</v>
      </c>
      <c r="E10" s="320">
        <v>6.4472263372156099E-2</v>
      </c>
      <c r="F10" s="320">
        <v>142.02277499312001</v>
      </c>
      <c r="G10" s="320">
        <v>7.0095351338884901</v>
      </c>
      <c r="H10" s="320">
        <v>0.39097604298616401</v>
      </c>
      <c r="I10" s="320">
        <v>1499.9966879154799</v>
      </c>
      <c r="J10" s="320">
        <v>36.997753652140503</v>
      </c>
      <c r="K10" s="320">
        <v>100.64031479833</v>
      </c>
      <c r="L10" s="384">
        <f t="shared" si="0"/>
        <v>1.0064031479832999E-4</v>
      </c>
      <c r="M10" s="320"/>
      <c r="N10" s="320"/>
      <c r="O10" s="321"/>
      <c r="P10" s="321"/>
      <c r="AI10" s="326"/>
      <c r="AL10" s="326"/>
      <c r="AM10" s="326"/>
    </row>
    <row r="11" spans="1:39" x14ac:dyDescent="0.15">
      <c r="A11" s="319">
        <v>43117.9375</v>
      </c>
      <c r="B11" s="320">
        <v>4</v>
      </c>
      <c r="C11" s="320">
        <v>80.643123432698005</v>
      </c>
      <c r="D11" s="320">
        <v>80.542839820095395</v>
      </c>
      <c r="E11" s="320">
        <v>9.3651676764891501E-2</v>
      </c>
      <c r="F11" s="320">
        <v>174.846336589527</v>
      </c>
      <c r="G11" s="320">
        <v>7.0207500931218298</v>
      </c>
      <c r="H11" s="320">
        <v>0.45874503278492501</v>
      </c>
      <c r="I11" s="320">
        <v>1500.00654736664</v>
      </c>
      <c r="J11" s="320">
        <v>37.000806296413998</v>
      </c>
      <c r="K11" s="320">
        <v>101.21489010402399</v>
      </c>
      <c r="L11" s="384">
        <f t="shared" si="0"/>
        <v>1.0121489010402399E-4</v>
      </c>
      <c r="M11" s="320"/>
      <c r="N11" s="320"/>
      <c r="O11" s="321"/>
      <c r="P11" s="321"/>
      <c r="AI11" s="326"/>
      <c r="AL11" s="326"/>
      <c r="AM11" s="326"/>
    </row>
    <row r="12" spans="1:39" x14ac:dyDescent="0.15">
      <c r="A12" s="319">
        <v>43117.958333333336</v>
      </c>
      <c r="B12" s="320">
        <v>4.5</v>
      </c>
      <c r="C12" s="320">
        <v>118.553339776605</v>
      </c>
      <c r="D12" s="320">
        <v>77.232752157270795</v>
      </c>
      <c r="E12" s="320">
        <v>0.133490041993544</v>
      </c>
      <c r="F12" s="320">
        <v>213.19086885717999</v>
      </c>
      <c r="G12" s="320">
        <v>7.0306407681711498</v>
      </c>
      <c r="H12" s="320">
        <v>0.54614622500719401</v>
      </c>
      <c r="I12" s="320">
        <v>1499.7413705313099</v>
      </c>
      <c r="J12" s="320">
        <v>37.013764651515601</v>
      </c>
      <c r="K12" s="320">
        <v>99.785180455326298</v>
      </c>
      <c r="L12" s="384">
        <f t="shared" si="0"/>
        <v>9.9785180455326294E-5</v>
      </c>
      <c r="M12" s="320"/>
      <c r="N12" s="320"/>
      <c r="O12" s="321"/>
      <c r="P12" s="321"/>
      <c r="AI12" s="326"/>
      <c r="AL12" s="326"/>
      <c r="AM12" s="326"/>
    </row>
    <row r="13" spans="1:39" x14ac:dyDescent="0.15">
      <c r="A13" s="319">
        <v>43117.979166666664</v>
      </c>
      <c r="B13" s="320">
        <v>5</v>
      </c>
      <c r="C13" s="320">
        <v>129.16019342776801</v>
      </c>
      <c r="D13" s="320">
        <v>73.2726709226297</v>
      </c>
      <c r="E13" s="320">
        <v>0.14950938990000501</v>
      </c>
      <c r="F13" s="320">
        <v>244.881975351318</v>
      </c>
      <c r="G13" s="320">
        <v>7.0246959233205803</v>
      </c>
      <c r="H13" s="320">
        <v>0.52852686430261597</v>
      </c>
      <c r="I13" s="320">
        <v>1499.58782736282</v>
      </c>
      <c r="J13" s="320">
        <v>37.003884939381599</v>
      </c>
      <c r="K13" s="320">
        <v>99.419282687437601</v>
      </c>
      <c r="L13" s="384">
        <f t="shared" si="0"/>
        <v>9.9419282687437591E-5</v>
      </c>
      <c r="M13" s="320"/>
      <c r="N13" s="320"/>
      <c r="O13" s="321"/>
      <c r="P13" s="321"/>
      <c r="AI13" s="326"/>
      <c r="AL13" s="326"/>
      <c r="AM13" s="326"/>
    </row>
    <row r="14" spans="1:39" x14ac:dyDescent="0.15">
      <c r="A14" s="319">
        <v>43118</v>
      </c>
      <c r="B14" s="320">
        <v>5.5</v>
      </c>
      <c r="C14" s="320">
        <v>143.39905075100501</v>
      </c>
      <c r="D14" s="320">
        <v>68.646624989613301</v>
      </c>
      <c r="E14" s="320">
        <v>0.16599492289468701</v>
      </c>
      <c r="F14" s="320">
        <v>271.38771830750102</v>
      </c>
      <c r="G14" s="320">
        <v>7.0223098209012296</v>
      </c>
      <c r="H14" s="320">
        <v>0.52877542663326504</v>
      </c>
      <c r="I14" s="320">
        <v>1500.0220257763399</v>
      </c>
      <c r="J14" s="320">
        <v>37.0060244886782</v>
      </c>
      <c r="K14" s="320">
        <v>99.422714513980196</v>
      </c>
      <c r="L14" s="384">
        <f t="shared" si="0"/>
        <v>9.9422714513980193E-5</v>
      </c>
      <c r="M14" s="320"/>
      <c r="N14" s="320"/>
      <c r="O14" s="321"/>
      <c r="P14" s="321"/>
      <c r="AI14" s="326"/>
      <c r="AL14" s="326"/>
      <c r="AM14" s="326"/>
    </row>
    <row r="15" spans="1:39" x14ac:dyDescent="0.15">
      <c r="A15" s="319">
        <v>43118.020833333336</v>
      </c>
      <c r="B15" s="320">
        <v>6</v>
      </c>
      <c r="C15" s="320">
        <v>148.27638437634101</v>
      </c>
      <c r="D15" s="320">
        <v>74.162476364451393</v>
      </c>
      <c r="E15" s="320">
        <v>0.17137572575794499</v>
      </c>
      <c r="F15" s="320">
        <v>266.08744077379498</v>
      </c>
      <c r="G15" s="320">
        <v>7.0292358792509901</v>
      </c>
      <c r="H15" s="320">
        <v>0.56072476205100696</v>
      </c>
      <c r="I15" s="320">
        <v>1499.9134622096501</v>
      </c>
      <c r="J15" s="320">
        <v>37.001231996617101</v>
      </c>
      <c r="K15" s="320">
        <v>97.6856666898979</v>
      </c>
      <c r="L15" s="384">
        <f t="shared" si="0"/>
        <v>9.7685666689897892E-5</v>
      </c>
      <c r="M15" s="320"/>
      <c r="N15" s="320"/>
      <c r="O15" s="321"/>
      <c r="P15" s="321"/>
      <c r="AI15" s="326"/>
      <c r="AL15" s="326"/>
      <c r="AM15" s="326"/>
    </row>
    <row r="16" spans="1:39" x14ac:dyDescent="0.15">
      <c r="A16" s="319">
        <v>43118.041666666664</v>
      </c>
      <c r="B16" s="320">
        <v>6.5</v>
      </c>
      <c r="C16" s="320">
        <v>160.054347562896</v>
      </c>
      <c r="D16" s="320">
        <v>79.402881081428205</v>
      </c>
      <c r="E16" s="320">
        <v>0.18526224340365299</v>
      </c>
      <c r="F16" s="320">
        <v>274.07426444796897</v>
      </c>
      <c r="G16" s="320">
        <v>7.0135174758068404</v>
      </c>
      <c r="H16" s="320">
        <v>0.58403086603675702</v>
      </c>
      <c r="I16" s="320">
        <v>1499.9200262188299</v>
      </c>
      <c r="J16" s="320">
        <v>36.9080747408889</v>
      </c>
      <c r="K16" s="320">
        <v>97.199062493603904</v>
      </c>
      <c r="L16" s="384">
        <f t="shared" si="0"/>
        <v>9.7199062493603895E-5</v>
      </c>
      <c r="M16" s="320"/>
      <c r="N16" s="320"/>
      <c r="O16" s="321"/>
      <c r="P16" s="321"/>
      <c r="AI16" s="326"/>
      <c r="AL16" s="326"/>
      <c r="AM16" s="326"/>
    </row>
    <row r="17" spans="1:39" x14ac:dyDescent="0.15">
      <c r="A17" s="319">
        <v>43118.0625</v>
      </c>
      <c r="B17" s="320">
        <v>7</v>
      </c>
      <c r="C17" s="320">
        <v>145.23607055916099</v>
      </c>
      <c r="D17" s="320">
        <v>80.288425882677998</v>
      </c>
      <c r="E17" s="320">
        <v>0.168128595333425</v>
      </c>
      <c r="F17" s="320">
        <v>274.25735915365902</v>
      </c>
      <c r="G17" s="320">
        <v>7.0258152206100997</v>
      </c>
      <c r="H17" s="320">
        <v>0.52964278905393503</v>
      </c>
      <c r="I17" s="320">
        <v>1500.07752305137</v>
      </c>
      <c r="J17" s="320">
        <v>36.991981610110201</v>
      </c>
      <c r="K17" s="320">
        <v>97.196885036399294</v>
      </c>
      <c r="L17" s="384">
        <f t="shared" si="0"/>
        <v>9.7196885036399293E-5</v>
      </c>
      <c r="M17" s="320"/>
      <c r="N17" s="320"/>
      <c r="O17" s="321"/>
      <c r="P17" s="321"/>
      <c r="AI17" s="326"/>
      <c r="AL17" s="326"/>
      <c r="AM17" s="326"/>
    </row>
    <row r="18" spans="1:39" x14ac:dyDescent="0.15">
      <c r="A18" s="319">
        <v>43118.083333333336</v>
      </c>
      <c r="B18" s="320">
        <v>7.5</v>
      </c>
      <c r="C18" s="320">
        <v>137.82346977929799</v>
      </c>
      <c r="D18" s="320">
        <v>81.647874171646095</v>
      </c>
      <c r="E18" s="320">
        <v>0.15993040520514401</v>
      </c>
      <c r="F18" s="320">
        <v>268.96794279147002</v>
      </c>
      <c r="G18" s="320">
        <v>7.0304788349719098</v>
      </c>
      <c r="H18" s="320">
        <v>0.51720512234149496</v>
      </c>
      <c r="I18" s="320">
        <v>1500.12574966232</v>
      </c>
      <c r="J18" s="320">
        <v>36.989454521263902</v>
      </c>
      <c r="K18" s="320">
        <v>95.577071831162797</v>
      </c>
      <c r="L18" s="384">
        <f t="shared" si="0"/>
        <v>9.55770718311628E-5</v>
      </c>
      <c r="M18" s="320"/>
      <c r="N18" s="320"/>
      <c r="O18" s="321"/>
      <c r="P18" s="321"/>
      <c r="AI18" s="326"/>
      <c r="AL18" s="326"/>
      <c r="AM18" s="326"/>
    </row>
    <row r="19" spans="1:39" x14ac:dyDescent="0.15">
      <c r="A19" s="319">
        <v>43118.104166666664</v>
      </c>
      <c r="B19" s="320">
        <v>8</v>
      </c>
      <c r="C19" s="320">
        <v>132.970349415806</v>
      </c>
      <c r="D19" s="320">
        <v>82.065174596199697</v>
      </c>
      <c r="E19" s="320">
        <v>0.153936196263253</v>
      </c>
      <c r="F19" s="320">
        <v>266.41230904132698</v>
      </c>
      <c r="G19" s="320">
        <v>7.0518452873279198</v>
      </c>
      <c r="H19" s="320">
        <v>0.49898602080288301</v>
      </c>
      <c r="I19" s="320">
        <v>1499.96977573247</v>
      </c>
      <c r="J19" s="320">
        <v>36.998363795690501</v>
      </c>
      <c r="K19" s="320">
        <v>94.983626890281698</v>
      </c>
      <c r="L19" s="384">
        <f t="shared" si="0"/>
        <v>9.4983626890281692E-5</v>
      </c>
      <c r="M19" s="320"/>
      <c r="N19" s="320"/>
      <c r="O19" s="321"/>
      <c r="P19" s="321"/>
      <c r="AI19" s="326"/>
      <c r="AL19" s="326"/>
      <c r="AM19" s="326"/>
    </row>
    <row r="20" spans="1:39" x14ac:dyDescent="0.15">
      <c r="A20" s="319">
        <v>43118.125</v>
      </c>
      <c r="B20" s="320">
        <v>8.5</v>
      </c>
      <c r="C20" s="320">
        <v>132.145226238893</v>
      </c>
      <c r="D20" s="320">
        <v>82.275253554345497</v>
      </c>
      <c r="E20" s="320">
        <v>0.15300956037240299</v>
      </c>
      <c r="F20" s="320">
        <v>267.17868734839999</v>
      </c>
      <c r="G20" s="320">
        <v>7.0382491802041001</v>
      </c>
      <c r="H20" s="320">
        <v>0.49450597231214799</v>
      </c>
      <c r="I20" s="320">
        <v>1500.13128647542</v>
      </c>
      <c r="J20" s="320">
        <v>37.005240071186599</v>
      </c>
      <c r="K20" s="320">
        <v>94.977890216943507</v>
      </c>
      <c r="L20" s="384">
        <f t="shared" si="0"/>
        <v>9.4977890216943505E-5</v>
      </c>
      <c r="M20" s="320"/>
      <c r="N20" s="320"/>
      <c r="O20" s="321"/>
      <c r="P20" s="321"/>
      <c r="AI20" s="326"/>
      <c r="AL20" s="326"/>
      <c r="AM20" s="326"/>
    </row>
    <row r="21" spans="1:39" x14ac:dyDescent="0.15">
      <c r="A21" s="319">
        <v>43118.145833333336</v>
      </c>
      <c r="B21" s="320">
        <v>9</v>
      </c>
      <c r="C21" s="320">
        <v>129.214127572107</v>
      </c>
      <c r="D21" s="320">
        <v>82.989793336174898</v>
      </c>
      <c r="E21" s="320">
        <v>0.147885711300211</v>
      </c>
      <c r="F21" s="320">
        <v>263.24737889136998</v>
      </c>
      <c r="G21" s="320">
        <v>7.0452592813664596</v>
      </c>
      <c r="H21" s="320">
        <v>0.48024303471769603</v>
      </c>
      <c r="I21" s="320">
        <v>1500.17702481331</v>
      </c>
      <c r="J21" s="320">
        <v>36.997237994121797</v>
      </c>
      <c r="K21" s="320">
        <v>93.475149807876605</v>
      </c>
      <c r="L21" s="384">
        <f t="shared" si="0"/>
        <v>9.3475149807876603E-5</v>
      </c>
      <c r="M21" s="320"/>
      <c r="N21" s="320"/>
      <c r="O21" s="321"/>
      <c r="P21" s="321"/>
      <c r="AI21" s="326"/>
      <c r="AL21" s="326"/>
      <c r="AM21" s="326"/>
    </row>
    <row r="22" spans="1:39" x14ac:dyDescent="0.15">
      <c r="A22" s="319">
        <v>43118.166666666664</v>
      </c>
      <c r="B22" s="320">
        <v>9.5</v>
      </c>
      <c r="C22" s="320">
        <v>129.93151177709899</v>
      </c>
      <c r="D22" s="320">
        <v>82.941784704384403</v>
      </c>
      <c r="E22" s="320">
        <v>0.150432718647767</v>
      </c>
      <c r="F22" s="320">
        <v>267.55307471666299</v>
      </c>
      <c r="G22" s="320">
        <v>7.0415616443109998</v>
      </c>
      <c r="H22" s="320">
        <v>0.48567846961337502</v>
      </c>
      <c r="I22" s="320">
        <v>1499.8506043416701</v>
      </c>
      <c r="J22" s="320">
        <v>36.999998640736003</v>
      </c>
      <c r="K22" s="320">
        <v>92.764355584164704</v>
      </c>
      <c r="L22" s="384">
        <f t="shared" si="0"/>
        <v>9.2764355584164701E-5</v>
      </c>
      <c r="M22" s="320"/>
      <c r="N22" s="320"/>
      <c r="O22" s="321"/>
      <c r="P22" s="321"/>
      <c r="AI22" s="326"/>
      <c r="AL22" s="326"/>
      <c r="AM22" s="326"/>
    </row>
    <row r="23" spans="1:39" x14ac:dyDescent="0.15">
      <c r="A23" s="319">
        <v>43118.1875</v>
      </c>
      <c r="B23" s="320">
        <v>10</v>
      </c>
      <c r="C23" s="320">
        <v>137.05015027756701</v>
      </c>
      <c r="D23" s="320">
        <v>82.296756323826699</v>
      </c>
      <c r="E23" s="320">
        <v>0.158682732702457</v>
      </c>
      <c r="F23" s="320">
        <v>276.63473559909698</v>
      </c>
      <c r="G23" s="320">
        <v>7.0256188471266796</v>
      </c>
      <c r="H23" s="320">
        <v>0.49540660145322102</v>
      </c>
      <c r="I23" s="320">
        <v>1499.55827746502</v>
      </c>
      <c r="J23" s="320">
        <v>36.996453538251998</v>
      </c>
      <c r="K23" s="320">
        <v>92.765737327683297</v>
      </c>
      <c r="L23" s="384">
        <f t="shared" si="0"/>
        <v>9.2765737327683294E-5</v>
      </c>
      <c r="M23" s="320"/>
      <c r="N23" s="320"/>
      <c r="O23" s="321"/>
      <c r="P23" s="321"/>
      <c r="AI23" s="326"/>
      <c r="AL23" s="326"/>
      <c r="AM23" s="326"/>
    </row>
    <row r="24" spans="1:39" x14ac:dyDescent="0.15">
      <c r="A24" s="319">
        <v>43118.208333333336</v>
      </c>
      <c r="B24" s="320">
        <v>10.5</v>
      </c>
      <c r="C24" s="320">
        <v>138.35027296298</v>
      </c>
      <c r="D24" s="320">
        <v>82.590989881879807</v>
      </c>
      <c r="E24" s="320">
        <v>0.157069147560361</v>
      </c>
      <c r="F24" s="320">
        <v>275.39009385126002</v>
      </c>
      <c r="G24" s="320">
        <v>7.0425041209743702</v>
      </c>
      <c r="H24" s="320">
        <v>0.50197828104168396</v>
      </c>
      <c r="I24" s="320">
        <v>1500.10110088689</v>
      </c>
      <c r="J24" s="320">
        <v>36.997523983579399</v>
      </c>
      <c r="K24" s="320">
        <v>91.392444689497594</v>
      </c>
      <c r="L24" s="384">
        <f t="shared" si="0"/>
        <v>9.1392444689497595E-5</v>
      </c>
      <c r="M24" s="320"/>
      <c r="N24" s="320"/>
      <c r="O24" s="321"/>
      <c r="P24" s="321"/>
      <c r="AI24" s="326"/>
      <c r="AL24" s="326"/>
      <c r="AM24" s="326"/>
    </row>
    <row r="25" spans="1:39" x14ac:dyDescent="0.15">
      <c r="A25" s="319">
        <v>43118.229166666664</v>
      </c>
      <c r="B25" s="320">
        <v>11</v>
      </c>
      <c r="C25" s="320">
        <v>137.59790376801999</v>
      </c>
      <c r="D25" s="320">
        <v>82.229478176919798</v>
      </c>
      <c r="E25" s="320">
        <v>0.15931968717789799</v>
      </c>
      <c r="F25" s="320">
        <v>277.65152616729699</v>
      </c>
      <c r="G25" s="320">
        <v>7.03616799715798</v>
      </c>
      <c r="H25" s="320">
        <v>0.49559773876332303</v>
      </c>
      <c r="I25" s="320">
        <v>1500.162288081</v>
      </c>
      <c r="J25" s="320">
        <v>37.0007356765026</v>
      </c>
      <c r="K25" s="320">
        <v>90.567745236338197</v>
      </c>
      <c r="L25" s="384">
        <f t="shared" si="0"/>
        <v>9.0567745236338191E-5</v>
      </c>
      <c r="M25" s="320"/>
      <c r="N25" s="320"/>
      <c r="O25" s="321"/>
      <c r="P25" s="321"/>
      <c r="AI25" s="326"/>
      <c r="AL25" s="326"/>
      <c r="AM25" s="326"/>
    </row>
    <row r="26" spans="1:39" x14ac:dyDescent="0.15">
      <c r="A26" s="319">
        <v>43118.25</v>
      </c>
      <c r="B26" s="320">
        <v>11.5</v>
      </c>
      <c r="C26" s="320">
        <v>146.40588308164899</v>
      </c>
      <c r="D26" s="320">
        <v>81.548025901702104</v>
      </c>
      <c r="E26" s="320">
        <v>0.16953619105322101</v>
      </c>
      <c r="F26" s="320">
        <v>285.03894202308601</v>
      </c>
      <c r="G26" s="320">
        <v>7.0433734640407799</v>
      </c>
      <c r="H26" s="320">
        <v>0.51323006124107595</v>
      </c>
      <c r="I26" s="320">
        <v>1499.92115926475</v>
      </c>
      <c r="J26" s="320">
        <v>37.006993443091702</v>
      </c>
      <c r="K26" s="320">
        <v>90.577501313690902</v>
      </c>
      <c r="L26" s="384">
        <f t="shared" si="0"/>
        <v>9.0577501313690901E-5</v>
      </c>
      <c r="M26" s="320"/>
      <c r="N26" s="320"/>
      <c r="O26" s="321"/>
      <c r="P26" s="321"/>
      <c r="AI26" s="326"/>
      <c r="AL26" s="326"/>
      <c r="AM26" s="326"/>
    </row>
    <row r="27" spans="1:39" x14ac:dyDescent="0.15">
      <c r="A27" s="319">
        <v>43118.270833333336</v>
      </c>
      <c r="B27" s="320">
        <v>12</v>
      </c>
      <c r="C27" s="320">
        <v>150.182087249685</v>
      </c>
      <c r="D27" s="320">
        <v>81.112560222437494</v>
      </c>
      <c r="E27" s="320">
        <v>0.174338756322094</v>
      </c>
      <c r="F27" s="320">
        <v>293.3545643114</v>
      </c>
      <c r="G27" s="320">
        <v>7.0546812309893898</v>
      </c>
      <c r="H27" s="320">
        <v>0.51627226729009101</v>
      </c>
      <c r="I27" s="320">
        <v>1499.70741814446</v>
      </c>
      <c r="J27" s="320">
        <v>36.999436402041397</v>
      </c>
      <c r="K27" s="320">
        <v>89.326643150994002</v>
      </c>
      <c r="L27" s="384">
        <f t="shared" si="0"/>
        <v>8.9326643150994001E-5</v>
      </c>
      <c r="M27" s="320"/>
      <c r="N27" s="320"/>
      <c r="O27" s="321"/>
      <c r="P27" s="321"/>
      <c r="AI27" s="326"/>
      <c r="AL27" s="326"/>
      <c r="AM27" s="326"/>
    </row>
    <row r="28" spans="1:39" x14ac:dyDescent="0.15">
      <c r="A28" s="319">
        <v>43118.291666666664</v>
      </c>
      <c r="B28" s="320">
        <v>12.5</v>
      </c>
      <c r="C28" s="320">
        <v>157.136582290169</v>
      </c>
      <c r="D28" s="320">
        <v>80.481339286659605</v>
      </c>
      <c r="E28" s="320">
        <v>0.18196163258289699</v>
      </c>
      <c r="F28" s="320">
        <v>299.901771273235</v>
      </c>
      <c r="G28" s="320">
        <v>7.0503239707433396</v>
      </c>
      <c r="H28" s="320">
        <v>0.52342639101719701</v>
      </c>
      <c r="I28" s="320">
        <v>1500.2612511498201</v>
      </c>
      <c r="J28" s="320">
        <v>37.0004006360791</v>
      </c>
      <c r="K28" s="320">
        <v>88.386644930402895</v>
      </c>
      <c r="L28" s="384">
        <f t="shared" si="0"/>
        <v>8.8386644930402896E-5</v>
      </c>
      <c r="M28" s="320"/>
      <c r="N28" s="320"/>
      <c r="O28" s="321"/>
      <c r="P28" s="321"/>
      <c r="AI28" s="326"/>
      <c r="AL28" s="326"/>
      <c r="AM28" s="326"/>
    </row>
    <row r="29" spans="1:39" x14ac:dyDescent="0.15">
      <c r="A29" s="319">
        <v>43118.3125</v>
      </c>
      <c r="B29" s="320">
        <v>13</v>
      </c>
      <c r="C29" s="320">
        <v>163.69087200538399</v>
      </c>
      <c r="D29" s="320">
        <v>80.431200490575506</v>
      </c>
      <c r="E29" s="320">
        <v>0.18954731108419801</v>
      </c>
      <c r="F29" s="320">
        <v>303.62904565626201</v>
      </c>
      <c r="G29" s="320">
        <v>7.03591694510677</v>
      </c>
      <c r="H29" s="320">
        <v>0.53907662234005704</v>
      </c>
      <c r="I29" s="320">
        <v>1499.9435634495701</v>
      </c>
      <c r="J29" s="320">
        <v>36.9987940652125</v>
      </c>
      <c r="K29" s="320">
        <v>88.394632616674301</v>
      </c>
      <c r="L29" s="384">
        <f t="shared" si="0"/>
        <v>8.839463261667429E-5</v>
      </c>
      <c r="M29" s="320"/>
      <c r="N29" s="320"/>
      <c r="O29" s="321"/>
      <c r="P29" s="321"/>
      <c r="AI29" s="326"/>
      <c r="AL29" s="326"/>
      <c r="AM29" s="326"/>
    </row>
    <row r="30" spans="1:39" x14ac:dyDescent="0.15">
      <c r="A30" s="319">
        <v>43118.333333333336</v>
      </c>
      <c r="B30" s="320">
        <v>13.5</v>
      </c>
      <c r="C30" s="320">
        <v>165.737672580756</v>
      </c>
      <c r="D30" s="320">
        <v>79.800528904718206</v>
      </c>
      <c r="E30" s="320">
        <v>0.19345658021069001</v>
      </c>
      <c r="F30" s="320">
        <v>310.76361687705702</v>
      </c>
      <c r="G30" s="320">
        <v>7.0369434918349398</v>
      </c>
      <c r="H30" s="320">
        <v>0.53870190677664598</v>
      </c>
      <c r="I30" s="320">
        <v>1499.88241258012</v>
      </c>
      <c r="J30" s="320">
        <v>37.007362859982003</v>
      </c>
      <c r="K30" s="320">
        <v>87.250153801883698</v>
      </c>
      <c r="L30" s="384">
        <f t="shared" si="0"/>
        <v>8.7250153801883697E-5</v>
      </c>
      <c r="M30" s="320"/>
      <c r="N30" s="320"/>
      <c r="O30" s="321"/>
      <c r="P30" s="321"/>
      <c r="AI30" s="326"/>
      <c r="AL30" s="326"/>
      <c r="AM30" s="326"/>
    </row>
    <row r="31" spans="1:39" x14ac:dyDescent="0.15">
      <c r="A31" s="319">
        <v>43118.354166666664</v>
      </c>
      <c r="B31" s="320">
        <v>14</v>
      </c>
      <c r="C31" s="320">
        <v>169.29906405141401</v>
      </c>
      <c r="D31" s="320">
        <v>79.190769889908594</v>
      </c>
      <c r="E31" s="320">
        <v>0.19602774782909299</v>
      </c>
      <c r="F31" s="320">
        <v>314.12794924488497</v>
      </c>
      <c r="G31" s="320">
        <v>7.0554135938828697</v>
      </c>
      <c r="H31" s="320">
        <v>0.53835795700203704</v>
      </c>
      <c r="I31" s="320">
        <v>1500.00402426306</v>
      </c>
      <c r="J31" s="320">
        <v>36.994718085325502</v>
      </c>
      <c r="K31" s="320">
        <v>86.211389741581101</v>
      </c>
      <c r="L31" s="384">
        <f t="shared" si="0"/>
        <v>8.6211389741581095E-5</v>
      </c>
      <c r="M31" s="320"/>
      <c r="N31" s="320"/>
      <c r="O31" s="321"/>
      <c r="P31" s="321"/>
      <c r="AI31" s="326"/>
      <c r="AL31" s="326"/>
      <c r="AM31" s="326"/>
    </row>
    <row r="32" spans="1:39" x14ac:dyDescent="0.15">
      <c r="A32" s="319">
        <v>43118.375</v>
      </c>
      <c r="B32" s="320">
        <v>14.5</v>
      </c>
      <c r="C32" s="320">
        <v>178.82125523332499</v>
      </c>
      <c r="D32" s="320">
        <v>78.176645558123596</v>
      </c>
      <c r="E32" s="320">
        <v>0.20705977196845801</v>
      </c>
      <c r="F32" s="320">
        <v>324.59245764317802</v>
      </c>
      <c r="G32" s="320">
        <v>7.0409914807154301</v>
      </c>
      <c r="H32" s="320">
        <v>0.55067873859177197</v>
      </c>
      <c r="I32" s="320">
        <v>1500.0283583889</v>
      </c>
      <c r="J32" s="320">
        <v>37.003679293023197</v>
      </c>
      <c r="K32" s="320">
        <v>86.223864656518103</v>
      </c>
      <c r="L32" s="384">
        <f t="shared" si="0"/>
        <v>8.6223864656518101E-5</v>
      </c>
      <c r="M32" s="320"/>
      <c r="N32" s="320"/>
      <c r="O32" s="321"/>
      <c r="P32" s="321"/>
      <c r="AI32" s="326"/>
      <c r="AL32" s="326"/>
      <c r="AM32" s="326"/>
    </row>
    <row r="33" spans="1:39" x14ac:dyDescent="0.15">
      <c r="A33" s="319">
        <v>43118.395833333336</v>
      </c>
      <c r="B33" s="320">
        <v>15</v>
      </c>
      <c r="C33" s="320">
        <v>190.911010843068</v>
      </c>
      <c r="D33" s="320">
        <v>77.237897782855896</v>
      </c>
      <c r="E33" s="320">
        <v>0.22107032619463199</v>
      </c>
      <c r="F33" s="320">
        <v>333.02688360810703</v>
      </c>
      <c r="G33" s="320">
        <v>7.0421675348776898</v>
      </c>
      <c r="H33" s="320">
        <v>0.57286326342529303</v>
      </c>
      <c r="I33" s="320">
        <v>1499.8453895278999</v>
      </c>
      <c r="J33" s="320">
        <v>37.003079420132103</v>
      </c>
      <c r="K33" s="320">
        <v>86.240046662792807</v>
      </c>
      <c r="L33" s="384">
        <f t="shared" si="0"/>
        <v>8.6240046662792799E-5</v>
      </c>
      <c r="M33" s="320"/>
      <c r="N33" s="320"/>
      <c r="O33" s="321"/>
      <c r="P33" s="321"/>
      <c r="AI33" s="326"/>
      <c r="AL33" s="326"/>
      <c r="AM33" s="326"/>
    </row>
    <row r="34" spans="1:39" x14ac:dyDescent="0.15">
      <c r="A34" s="319">
        <v>43118.416666666664</v>
      </c>
      <c r="B34" s="320">
        <v>15.5</v>
      </c>
      <c r="C34" s="320">
        <v>201.82326798855101</v>
      </c>
      <c r="D34" s="320">
        <v>76.193577732102099</v>
      </c>
      <c r="E34" s="320">
        <v>0.22673243786150499</v>
      </c>
      <c r="F34" s="320">
        <v>343.40506435131402</v>
      </c>
      <c r="G34" s="320">
        <v>7.0413356189115301</v>
      </c>
      <c r="H34" s="320">
        <v>0.58165676117981902</v>
      </c>
      <c r="I34" s="320">
        <v>1499.96730923566</v>
      </c>
      <c r="J34" s="320">
        <v>36.9934703411611</v>
      </c>
      <c r="K34" s="320">
        <v>85.216572995015099</v>
      </c>
      <c r="L34" s="384">
        <f t="shared" si="0"/>
        <v>8.5216572995015089E-5</v>
      </c>
      <c r="M34" s="320"/>
      <c r="N34" s="320"/>
      <c r="O34" s="321"/>
      <c r="P34" s="321"/>
      <c r="AI34" s="326"/>
      <c r="AL34" s="326"/>
      <c r="AM34" s="326"/>
    </row>
    <row r="35" spans="1:39" x14ac:dyDescent="0.15">
      <c r="A35" s="319">
        <v>43118.4375</v>
      </c>
      <c r="B35" s="320">
        <v>16</v>
      </c>
      <c r="C35" s="320">
        <v>205.24067228829</v>
      </c>
      <c r="D35" s="320">
        <v>75.175032906066704</v>
      </c>
      <c r="E35" s="320">
        <v>0.237673386916635</v>
      </c>
      <c r="F35" s="320">
        <v>351.67194771680499</v>
      </c>
      <c r="G35" s="320">
        <v>7.0470479230093801</v>
      </c>
      <c r="H35" s="320">
        <v>0.58290539387440199</v>
      </c>
      <c r="I35" s="320">
        <v>1500.19954891051</v>
      </c>
      <c r="J35" s="320">
        <v>36.996422328945499</v>
      </c>
      <c r="K35" s="320">
        <v>84.069677997807602</v>
      </c>
      <c r="L35" s="384">
        <f t="shared" si="0"/>
        <v>8.4069677997807593E-5</v>
      </c>
      <c r="M35" s="320"/>
      <c r="N35" s="320"/>
      <c r="O35" s="321"/>
      <c r="P35" s="321"/>
      <c r="AI35" s="326"/>
      <c r="AL35" s="326"/>
      <c r="AM35" s="326"/>
    </row>
    <row r="36" spans="1:39" x14ac:dyDescent="0.15">
      <c r="A36" s="319">
        <v>43118.458333333336</v>
      </c>
      <c r="B36" s="320">
        <v>16.5</v>
      </c>
      <c r="C36" s="320">
        <v>218.70702010954901</v>
      </c>
      <c r="D36" s="320">
        <v>73.544601347448904</v>
      </c>
      <c r="E36" s="320">
        <v>0.25324740936537798</v>
      </c>
      <c r="F36" s="320">
        <v>367.64479037860002</v>
      </c>
      <c r="G36" s="320">
        <v>7.0413199862692402</v>
      </c>
      <c r="H36" s="320">
        <v>0.59406782489980303</v>
      </c>
      <c r="I36" s="320">
        <v>1500.04730011571</v>
      </c>
      <c r="J36" s="320">
        <v>37.0018521695741</v>
      </c>
      <c r="K36" s="320">
        <v>84.092246926919699</v>
      </c>
      <c r="L36" s="384">
        <f t="shared" si="0"/>
        <v>8.4092246926919701E-5</v>
      </c>
      <c r="M36" s="320"/>
      <c r="N36" s="320"/>
      <c r="O36" s="321"/>
      <c r="P36" s="321"/>
      <c r="AI36" s="326"/>
      <c r="AL36" s="326"/>
      <c r="AM36" s="326"/>
    </row>
    <row r="37" spans="1:39" x14ac:dyDescent="0.15">
      <c r="A37" s="319">
        <v>43118.479166666664</v>
      </c>
      <c r="B37" s="320">
        <v>17</v>
      </c>
      <c r="C37" s="320">
        <v>232.47977917576301</v>
      </c>
      <c r="D37" s="320">
        <v>72.237068077856705</v>
      </c>
      <c r="E37" s="320">
        <v>0.26920104245905802</v>
      </c>
      <c r="F37" s="320">
        <v>383.82175122434802</v>
      </c>
      <c r="G37" s="320">
        <v>7.0535868224921296</v>
      </c>
      <c r="H37" s="320">
        <v>0.60507290250215595</v>
      </c>
      <c r="I37" s="320">
        <v>1499.88178508181</v>
      </c>
      <c r="J37" s="320">
        <v>37.007949014753102</v>
      </c>
      <c r="K37" s="320">
        <v>84.116797670601599</v>
      </c>
      <c r="L37" s="384">
        <f t="shared" si="0"/>
        <v>8.4116797670601601E-5</v>
      </c>
      <c r="M37" s="320"/>
      <c r="N37" s="320"/>
      <c r="O37" s="321"/>
      <c r="P37" s="321"/>
      <c r="AI37" s="326"/>
      <c r="AL37" s="326"/>
      <c r="AM37" s="326"/>
    </row>
    <row r="38" spans="1:39" x14ac:dyDescent="0.15">
      <c r="A38" s="319">
        <v>43118.5</v>
      </c>
      <c r="B38" s="320">
        <v>17.5</v>
      </c>
      <c r="C38" s="320">
        <v>252.27940035684199</v>
      </c>
      <c r="D38" s="320">
        <v>70.461582499059503</v>
      </c>
      <c r="E38" s="320">
        <v>0.29390015862765001</v>
      </c>
      <c r="F38" s="320">
        <v>391.84945458345197</v>
      </c>
      <c r="G38" s="320">
        <v>7.0398142229334404</v>
      </c>
      <c r="H38" s="320">
        <v>0.64834227756073204</v>
      </c>
      <c r="I38" s="320">
        <v>1499.83152106333</v>
      </c>
      <c r="J38" s="320">
        <v>36.995546160694602</v>
      </c>
      <c r="K38" s="320">
        <v>83.193595714832796</v>
      </c>
      <c r="L38" s="384">
        <f t="shared" si="0"/>
        <v>8.3193595714832797E-5</v>
      </c>
      <c r="M38" s="320"/>
      <c r="N38" s="320"/>
      <c r="O38" s="321"/>
      <c r="P38" s="321"/>
      <c r="AI38" s="326"/>
      <c r="AL38" s="326"/>
      <c r="AM38" s="326"/>
    </row>
    <row r="39" spans="1:39" x14ac:dyDescent="0.15">
      <c r="A39" s="319">
        <v>43118.520833333336</v>
      </c>
      <c r="B39" s="320">
        <v>18</v>
      </c>
      <c r="C39" s="320">
        <v>267.79066088844701</v>
      </c>
      <c r="D39" s="320">
        <v>68.312387051669006</v>
      </c>
      <c r="E39" s="320">
        <v>0.31006796553042498</v>
      </c>
      <c r="F39" s="320">
        <v>407.60301147884798</v>
      </c>
      <c r="G39" s="320">
        <v>7.0385730130066904</v>
      </c>
      <c r="H39" s="320">
        <v>0.65588262776486395</v>
      </c>
      <c r="I39" s="320">
        <v>1499.7917126853199</v>
      </c>
      <c r="J39" s="320">
        <v>37.004152770940998</v>
      </c>
      <c r="K39" s="320">
        <v>81.957219952635498</v>
      </c>
      <c r="L39" s="384">
        <f t="shared" si="0"/>
        <v>8.1957219952635493E-5</v>
      </c>
      <c r="M39" s="320"/>
      <c r="N39" s="320"/>
      <c r="O39" s="321"/>
      <c r="P39" s="321"/>
      <c r="AI39" s="326"/>
      <c r="AL39" s="326"/>
      <c r="AM39" s="326"/>
    </row>
    <row r="40" spans="1:39" x14ac:dyDescent="0.15">
      <c r="A40" s="319">
        <v>43118.541666666664</v>
      </c>
      <c r="B40" s="320">
        <v>18.5</v>
      </c>
      <c r="C40" s="320">
        <v>287.44648696502298</v>
      </c>
      <c r="D40" s="320">
        <v>66.334231304342595</v>
      </c>
      <c r="E40" s="320">
        <v>0.33282179103644</v>
      </c>
      <c r="F40" s="320">
        <v>432.10100136935398</v>
      </c>
      <c r="G40" s="320">
        <v>7.0398829608301599</v>
      </c>
      <c r="H40" s="320">
        <v>0.66416680713612397</v>
      </c>
      <c r="I40" s="320">
        <v>1499.91709848811</v>
      </c>
      <c r="J40" s="320">
        <v>37.000610694528802</v>
      </c>
      <c r="K40" s="320">
        <v>81.989550012874901</v>
      </c>
      <c r="L40" s="384">
        <f t="shared" si="0"/>
        <v>8.1989550012874903E-5</v>
      </c>
      <c r="M40" s="320"/>
      <c r="N40" s="320"/>
      <c r="O40" s="321"/>
      <c r="P40" s="321"/>
      <c r="AI40" s="326"/>
      <c r="AL40" s="326"/>
      <c r="AM40" s="326"/>
    </row>
    <row r="41" spans="1:39" x14ac:dyDescent="0.15">
      <c r="A41" s="319">
        <v>43118.5625</v>
      </c>
      <c r="B41" s="320">
        <v>19</v>
      </c>
      <c r="C41" s="320">
        <v>315.88206582142698</v>
      </c>
      <c r="D41" s="320">
        <v>63.924217341093097</v>
      </c>
      <c r="E41" s="320">
        <v>0.36572136351065698</v>
      </c>
      <c r="F41" s="320">
        <v>461.97141786946599</v>
      </c>
      <c r="G41" s="320">
        <v>7.0414951101909198</v>
      </c>
      <c r="H41" s="320">
        <v>0.68274629362816297</v>
      </c>
      <c r="I41" s="320">
        <v>1499.7294370018501</v>
      </c>
      <c r="J41" s="320">
        <v>37.001996814801998</v>
      </c>
      <c r="K41" s="320">
        <v>82.023945858465893</v>
      </c>
      <c r="L41" s="384">
        <f t="shared" si="0"/>
        <v>8.2023945858465889E-5</v>
      </c>
      <c r="M41" s="320"/>
      <c r="N41" s="320"/>
      <c r="O41" s="321"/>
      <c r="P41" s="321"/>
      <c r="AI41" s="326"/>
      <c r="AL41" s="326"/>
      <c r="AM41" s="326"/>
    </row>
    <row r="42" spans="1:39" x14ac:dyDescent="0.15">
      <c r="A42" s="319">
        <v>43118.583333333336</v>
      </c>
      <c r="B42" s="320">
        <v>19.5</v>
      </c>
      <c r="C42" s="320">
        <v>337.65408901503997</v>
      </c>
      <c r="D42" s="320">
        <v>61.1791103282496</v>
      </c>
      <c r="E42" s="320">
        <v>0.39401686714392598</v>
      </c>
      <c r="F42" s="320">
        <v>482.04626165111102</v>
      </c>
      <c r="G42" s="320">
        <v>7.0429996121474598</v>
      </c>
      <c r="H42" s="320">
        <v>0.70750295383903905</v>
      </c>
      <c r="I42" s="320">
        <v>1500.12575317044</v>
      </c>
      <c r="J42" s="320">
        <v>37.002015440843799</v>
      </c>
      <c r="K42" s="320">
        <v>81.211144108809705</v>
      </c>
      <c r="L42" s="384">
        <f t="shared" si="0"/>
        <v>8.1211144108809703E-5</v>
      </c>
      <c r="M42" s="320"/>
      <c r="N42" s="320"/>
      <c r="O42" s="321"/>
      <c r="P42" s="321"/>
      <c r="AI42" s="326"/>
      <c r="AL42" s="326"/>
      <c r="AM42" s="326"/>
    </row>
    <row r="43" spans="1:39" x14ac:dyDescent="0.15">
      <c r="A43" s="319">
        <v>43118.604166666664</v>
      </c>
      <c r="B43" s="320">
        <v>20</v>
      </c>
      <c r="C43" s="320">
        <v>366.536553078743</v>
      </c>
      <c r="D43" s="320">
        <v>58.018851773418099</v>
      </c>
      <c r="E43" s="320">
        <v>0.42438362795560702</v>
      </c>
      <c r="F43" s="320">
        <v>511.92529010337</v>
      </c>
      <c r="G43" s="320">
        <v>7.0494819529091997</v>
      </c>
      <c r="H43" s="320">
        <v>0.71522579741975201</v>
      </c>
      <c r="I43" s="320">
        <v>1499.9359922014</v>
      </c>
      <c r="J43" s="320">
        <v>37.001665387048099</v>
      </c>
      <c r="K43" s="320">
        <v>79.894038668416798</v>
      </c>
      <c r="L43" s="384">
        <f t="shared" si="0"/>
        <v>7.9894038668416794E-5</v>
      </c>
      <c r="M43" s="320"/>
      <c r="N43" s="320"/>
      <c r="O43" s="321"/>
      <c r="P43" s="321"/>
      <c r="AI43" s="326"/>
      <c r="AL43" s="326"/>
      <c r="AM43" s="326"/>
    </row>
    <row r="44" spans="1:39" x14ac:dyDescent="0.15">
      <c r="A44" s="319">
        <v>43118.625</v>
      </c>
      <c r="B44" s="320">
        <v>20.5</v>
      </c>
      <c r="C44" s="320">
        <v>410.42869275129601</v>
      </c>
      <c r="D44" s="320">
        <v>54.2284603709778</v>
      </c>
      <c r="E44" s="320">
        <v>0.47519304681663699</v>
      </c>
      <c r="F44" s="320">
        <v>550.24604140895201</v>
      </c>
      <c r="G44" s="320">
        <v>7.0408487060661198</v>
      </c>
      <c r="H44" s="320">
        <v>0.74525138329533203</v>
      </c>
      <c r="I44" s="320">
        <v>1499.8649957396599</v>
      </c>
      <c r="J44" s="320">
        <v>37.001406981944797</v>
      </c>
      <c r="K44" s="320">
        <v>79.934196365314094</v>
      </c>
      <c r="L44" s="384">
        <f t="shared" si="0"/>
        <v>7.9934196365314089E-5</v>
      </c>
      <c r="M44" s="320"/>
      <c r="N44" s="320"/>
      <c r="O44" s="321"/>
      <c r="P44" s="321"/>
      <c r="AI44" s="326"/>
      <c r="AL44" s="326"/>
      <c r="AM44" s="326"/>
    </row>
    <row r="45" spans="1:39" x14ac:dyDescent="0.15">
      <c r="A45" s="319">
        <v>43118.645833333336</v>
      </c>
      <c r="B45" s="320">
        <v>21</v>
      </c>
      <c r="C45" s="320">
        <v>416.32488848784499</v>
      </c>
      <c r="D45" s="320">
        <v>60.376280365578999</v>
      </c>
      <c r="E45" s="320">
        <v>0.48186813980923299</v>
      </c>
      <c r="F45" s="320">
        <v>519.67534652414804</v>
      </c>
      <c r="G45" s="320">
        <v>7.07219447144307</v>
      </c>
      <c r="H45" s="320">
        <v>0.81758475715118295</v>
      </c>
      <c r="I45" s="320">
        <v>1501.4715576098799</v>
      </c>
      <c r="J45" s="320">
        <v>36.987098677703997</v>
      </c>
      <c r="K45" s="320">
        <v>79.977477044832796</v>
      </c>
      <c r="L45" s="384">
        <f t="shared" si="0"/>
        <v>7.9977477044832792E-5</v>
      </c>
      <c r="M45" s="320"/>
      <c r="N45" s="320"/>
      <c r="O45" s="321"/>
      <c r="P45" s="321"/>
      <c r="AI45" s="326"/>
      <c r="AL45" s="326"/>
      <c r="AM45" s="326"/>
    </row>
    <row r="46" spans="1:39" x14ac:dyDescent="0.15">
      <c r="A46" s="319">
        <v>43118.666666666664</v>
      </c>
      <c r="B46" s="320">
        <v>21.5</v>
      </c>
      <c r="C46" s="320">
        <v>117.421308576561</v>
      </c>
      <c r="D46" s="320">
        <v>92.732131009592607</v>
      </c>
      <c r="E46" s="320">
        <v>0.13579454338234301</v>
      </c>
      <c r="F46" s="320">
        <v>169.96647793136</v>
      </c>
      <c r="G46" s="320">
        <v>7.2773937353002403</v>
      </c>
      <c r="H46" s="320">
        <v>0.66688352768224901</v>
      </c>
      <c r="I46" s="320">
        <v>1499.7309609864601</v>
      </c>
      <c r="J46" s="320">
        <v>36.9747633761054</v>
      </c>
      <c r="K46" s="320">
        <v>79.974810925723602</v>
      </c>
      <c r="L46" s="384">
        <f t="shared" si="0"/>
        <v>7.9974810925723602E-5</v>
      </c>
      <c r="M46" s="320"/>
      <c r="N46" s="320"/>
      <c r="O46" s="321"/>
      <c r="P46" s="321"/>
      <c r="AI46" s="326"/>
      <c r="AL46" s="326"/>
      <c r="AM46" s="326"/>
    </row>
    <row r="47" spans="1:39" x14ac:dyDescent="0.15">
      <c r="A47" s="319">
        <v>43118.6875</v>
      </c>
      <c r="B47" s="320">
        <v>22</v>
      </c>
      <c r="C47" s="320">
        <v>39.052256840330401</v>
      </c>
      <c r="D47" s="320">
        <v>96.614628251887297</v>
      </c>
      <c r="E47" s="320">
        <v>4.5188567047650403E-2</v>
      </c>
      <c r="F47" s="320">
        <v>123.175806311497</v>
      </c>
      <c r="G47" s="320">
        <v>7.3310920060364504</v>
      </c>
      <c r="H47" s="320">
        <v>0.314079100945444</v>
      </c>
      <c r="I47" s="320">
        <v>1499.9941570026101</v>
      </c>
      <c r="J47" s="320">
        <v>36.996965763574401</v>
      </c>
      <c r="K47" s="320">
        <v>79.943284299523697</v>
      </c>
      <c r="L47" s="384">
        <f t="shared" si="0"/>
        <v>7.9943284299523692E-5</v>
      </c>
      <c r="M47" s="320"/>
      <c r="N47" s="320"/>
      <c r="O47" s="321"/>
      <c r="P47" s="321"/>
      <c r="AI47" s="326"/>
      <c r="AL47" s="326"/>
      <c r="AM47" s="326"/>
    </row>
    <row r="48" spans="1:39" x14ac:dyDescent="0.15">
      <c r="A48" s="319">
        <v>43118.708333333336</v>
      </c>
      <c r="B48" s="320">
        <v>22.5</v>
      </c>
      <c r="C48" s="320">
        <v>21.015002606234699</v>
      </c>
      <c r="D48" s="320">
        <v>97.542498861201295</v>
      </c>
      <c r="E48" s="320">
        <v>2.4317324698525902E-2</v>
      </c>
      <c r="F48" s="320">
        <v>109.84380305582199</v>
      </c>
      <c r="G48" s="320">
        <v>7.3387012308404103</v>
      </c>
      <c r="H48" s="320">
        <v>0.190884101085152</v>
      </c>
      <c r="I48" s="320">
        <v>1499.84287346412</v>
      </c>
      <c r="J48" s="320">
        <v>36.998299370888397</v>
      </c>
      <c r="K48" s="320">
        <v>79.825396976975</v>
      </c>
      <c r="L48" s="384">
        <f t="shared" si="0"/>
        <v>7.982539697697499E-5</v>
      </c>
      <c r="M48" s="320"/>
      <c r="N48" s="320"/>
      <c r="O48" s="321"/>
      <c r="P48" s="321"/>
      <c r="AI48" s="326"/>
      <c r="AL48" s="326"/>
      <c r="AM48" s="326"/>
    </row>
    <row r="49" spans="1:39" x14ac:dyDescent="0.15">
      <c r="A49" s="319">
        <v>43118.729166666664</v>
      </c>
      <c r="B49" s="320">
        <v>23</v>
      </c>
      <c r="C49" s="320">
        <v>15.2605868210607</v>
      </c>
      <c r="D49" s="320">
        <v>98.006873770298995</v>
      </c>
      <c r="E49" s="320">
        <v>1.7636468578849599E-2</v>
      </c>
      <c r="F49" s="320">
        <v>98.6781210134303</v>
      </c>
      <c r="G49" s="320">
        <v>7.3352599578351203</v>
      </c>
      <c r="H49" s="320">
        <v>0.154027039049347</v>
      </c>
      <c r="I49" s="320">
        <v>1499.8505929657499</v>
      </c>
      <c r="J49" s="320">
        <v>36.996144248220801</v>
      </c>
      <c r="K49" s="320">
        <v>77.670243247868697</v>
      </c>
      <c r="L49" s="384">
        <f t="shared" si="0"/>
        <v>7.76702432478687E-5</v>
      </c>
      <c r="M49" s="320"/>
      <c r="N49" s="320"/>
      <c r="O49" s="321"/>
      <c r="P49" s="321"/>
      <c r="AI49" s="326"/>
      <c r="AL49" s="326"/>
      <c r="AM49" s="326"/>
    </row>
    <row r="50" spans="1:39" x14ac:dyDescent="0.15">
      <c r="A50" s="319">
        <v>43118.75</v>
      </c>
      <c r="B50" s="320">
        <v>23.5</v>
      </c>
      <c r="C50" s="320">
        <v>12.433200940112901</v>
      </c>
      <c r="D50" s="320">
        <v>98.221139525205203</v>
      </c>
      <c r="E50" s="320">
        <v>1.4384901247852799E-2</v>
      </c>
      <c r="F50" s="320">
        <v>97.754518030300403</v>
      </c>
      <c r="G50" s="320">
        <v>7.3274574818611704</v>
      </c>
      <c r="H50" s="320">
        <v>0.12735319043006699</v>
      </c>
      <c r="I50" s="320">
        <v>1500.0257888382901</v>
      </c>
      <c r="J50" s="320">
        <v>36.998595530219603</v>
      </c>
      <c r="K50" s="320">
        <v>77.638717531500305</v>
      </c>
      <c r="L50" s="384">
        <f t="shared" si="0"/>
        <v>7.7638717531500299E-5</v>
      </c>
      <c r="M50" s="320"/>
      <c r="N50" s="320"/>
      <c r="O50" s="321"/>
      <c r="P50" s="321"/>
      <c r="Y50" s="326"/>
      <c r="Z50" s="326"/>
      <c r="AA50" s="326"/>
      <c r="AB50" s="326"/>
      <c r="AC50" s="326"/>
      <c r="AD50" s="326"/>
      <c r="AG50" s="326"/>
      <c r="AH50" s="326"/>
      <c r="AI50" s="326"/>
      <c r="AL50" s="326"/>
      <c r="AM50" s="326"/>
    </row>
    <row r="51" spans="1:39" x14ac:dyDescent="0.15">
      <c r="A51" s="319">
        <v>43118.770833333336</v>
      </c>
      <c r="B51" s="320">
        <v>24</v>
      </c>
      <c r="C51" s="320">
        <v>11.763438502462799</v>
      </c>
      <c r="D51" s="320">
        <v>98.398108164182105</v>
      </c>
      <c r="E51" s="320">
        <v>1.36117826501575E-2</v>
      </c>
      <c r="F51" s="320">
        <v>96.4109106569787</v>
      </c>
      <c r="G51" s="320">
        <v>7.32070781336986</v>
      </c>
      <c r="H51" s="320">
        <v>0.122025357936422</v>
      </c>
      <c r="I51" s="320">
        <v>1499.71998311478</v>
      </c>
      <c r="J51" s="320">
        <v>36.996449185669199</v>
      </c>
      <c r="K51" s="320">
        <v>77.607194857771105</v>
      </c>
      <c r="L51" s="384">
        <f t="shared" si="0"/>
        <v>7.7607194857771104E-5</v>
      </c>
      <c r="M51" s="320"/>
      <c r="N51" s="320"/>
      <c r="O51" s="321"/>
      <c r="P51" s="321"/>
      <c r="Y51" s="326"/>
      <c r="Z51" s="326"/>
      <c r="AA51" s="326"/>
      <c r="AB51" s="326"/>
      <c r="AC51" s="326"/>
      <c r="AD51" s="326"/>
      <c r="AG51" s="326"/>
      <c r="AH51" s="326"/>
      <c r="AI51" s="326"/>
      <c r="AL51" s="326"/>
      <c r="AM51" s="326"/>
    </row>
    <row r="52" spans="1:39" x14ac:dyDescent="0.15">
      <c r="A52" s="319">
        <v>43118.791666666664</v>
      </c>
      <c r="B52" s="320">
        <v>24.5</v>
      </c>
      <c r="C52" s="320">
        <v>10.8953963130316</v>
      </c>
      <c r="D52" s="320">
        <v>98.535007298285095</v>
      </c>
      <c r="E52" s="320">
        <v>1.2608571032647601E-2</v>
      </c>
      <c r="F52" s="320">
        <v>98.138423475196007</v>
      </c>
      <c r="G52" s="320">
        <v>7.3167604408590803</v>
      </c>
      <c r="H52" s="320">
        <v>0.11102754279794499</v>
      </c>
      <c r="I52" s="320">
        <v>1500.0591353178399</v>
      </c>
      <c r="J52" s="320">
        <v>37.003481928645101</v>
      </c>
      <c r="K52" s="320">
        <v>77.575675484814298</v>
      </c>
      <c r="L52" s="384">
        <f t="shared" si="0"/>
        <v>7.7575675484814298E-5</v>
      </c>
      <c r="M52" s="320"/>
      <c r="N52" s="320"/>
      <c r="O52" s="321"/>
      <c r="P52" s="321"/>
      <c r="Y52" s="326"/>
      <c r="Z52" s="326"/>
      <c r="AA52" s="326"/>
      <c r="AB52" s="326"/>
      <c r="AC52" s="326"/>
      <c r="AD52" s="326"/>
      <c r="AG52" s="326"/>
      <c r="AH52" s="326"/>
      <c r="AI52" s="326"/>
      <c r="AL52" s="326"/>
      <c r="AM52" s="326"/>
    </row>
    <row r="53" spans="1:39" x14ac:dyDescent="0.15">
      <c r="A53" s="319">
        <v>43118.8125</v>
      </c>
      <c r="B53" s="320">
        <v>25</v>
      </c>
      <c r="C53" s="320">
        <v>9.50290045568625</v>
      </c>
      <c r="D53" s="320">
        <v>98.643624336682294</v>
      </c>
      <c r="E53" s="320">
        <v>1.09990004920891E-2</v>
      </c>
      <c r="F53" s="320">
        <v>94.813523522078896</v>
      </c>
      <c r="G53" s="320">
        <v>7.30866699803682</v>
      </c>
      <c r="H53" s="320">
        <v>0.10025379784862599</v>
      </c>
      <c r="I53" s="320">
        <v>1499.85542895443</v>
      </c>
      <c r="J53" s="320">
        <v>37.006021322398901</v>
      </c>
      <c r="K53" s="320">
        <v>77.544160712854506</v>
      </c>
      <c r="L53" s="384">
        <f t="shared" si="0"/>
        <v>7.7544160712854498E-5</v>
      </c>
      <c r="M53" s="320"/>
      <c r="N53" s="320"/>
      <c r="O53" s="321"/>
      <c r="P53" s="321"/>
      <c r="Y53" s="326"/>
      <c r="Z53" s="326"/>
      <c r="AA53" s="326"/>
      <c r="AB53" s="326"/>
      <c r="AC53" s="326"/>
      <c r="AD53" s="326"/>
      <c r="AG53" s="326"/>
      <c r="AH53" s="326"/>
      <c r="AI53" s="326"/>
      <c r="AL53" s="326"/>
      <c r="AM53" s="326"/>
    </row>
    <row r="54" spans="1:39" x14ac:dyDescent="0.15">
      <c r="A54" s="319">
        <v>43118.833333333336</v>
      </c>
      <c r="B54" s="320">
        <v>25.5</v>
      </c>
      <c r="C54" s="320">
        <v>8.5615140270461403</v>
      </c>
      <c r="D54" s="320">
        <v>98.7683386784649</v>
      </c>
      <c r="E54" s="320">
        <v>9.9083363565688892E-3</v>
      </c>
      <c r="F54" s="320">
        <v>89.957756155407296</v>
      </c>
      <c r="G54" s="320">
        <v>7.2978858679784597</v>
      </c>
      <c r="H54" s="320">
        <v>9.5209485218569298E-2</v>
      </c>
      <c r="I54" s="320">
        <v>1499.79967592875</v>
      </c>
      <c r="J54" s="320">
        <v>37.001377572957601</v>
      </c>
      <c r="K54" s="320">
        <v>77.512647090945904</v>
      </c>
      <c r="L54" s="384">
        <f t="shared" si="0"/>
        <v>7.7512647090945903E-5</v>
      </c>
      <c r="M54" s="320"/>
      <c r="N54" s="320"/>
      <c r="O54" s="321"/>
      <c r="P54" s="321"/>
      <c r="Y54" s="326"/>
      <c r="Z54" s="326"/>
      <c r="AA54" s="326"/>
      <c r="AB54" s="326"/>
      <c r="AC54" s="326"/>
      <c r="AD54" s="326"/>
      <c r="AG54" s="326"/>
      <c r="AH54" s="326"/>
      <c r="AI54" s="326"/>
      <c r="AL54" s="326"/>
      <c r="AM54" s="326"/>
    </row>
    <row r="55" spans="1:39" x14ac:dyDescent="0.15">
      <c r="A55" s="319">
        <v>43118.854166666664</v>
      </c>
      <c r="B55" s="320">
        <v>26</v>
      </c>
      <c r="C55" s="320">
        <v>7.75539629955684</v>
      </c>
      <c r="D55" s="320">
        <v>98.925878698288102</v>
      </c>
      <c r="E55" s="320">
        <v>8.9732952260231195E-3</v>
      </c>
      <c r="F55" s="320">
        <v>89.006153628148695</v>
      </c>
      <c r="G55" s="320">
        <v>7.2867735365756996</v>
      </c>
      <c r="H55" s="320">
        <v>8.7163426466704205E-2</v>
      </c>
      <c r="I55" s="320">
        <v>1500.1462721861101</v>
      </c>
      <c r="J55" s="320">
        <v>36.995676808928998</v>
      </c>
      <c r="K55" s="320">
        <v>77.481127061118698</v>
      </c>
      <c r="L55" s="384">
        <f t="shared" si="0"/>
        <v>7.7481127061118692E-5</v>
      </c>
      <c r="M55" s="320"/>
      <c r="N55" s="320"/>
      <c r="O55" s="321"/>
      <c r="P55" s="321"/>
      <c r="Y55" s="326"/>
      <c r="Z55" s="326"/>
      <c r="AA55" s="326"/>
      <c r="AB55" s="326"/>
      <c r="AC55" s="326"/>
      <c r="AD55" s="326"/>
      <c r="AG55" s="326"/>
      <c r="AH55" s="326"/>
      <c r="AI55" s="326"/>
      <c r="AL55" s="326"/>
      <c r="AM55" s="326"/>
    </row>
    <row r="56" spans="1:39" x14ac:dyDescent="0.15">
      <c r="A56" s="319">
        <v>43118.875</v>
      </c>
      <c r="B56" s="320">
        <v>26.5</v>
      </c>
      <c r="C56" s="320">
        <v>6.9659165837459502</v>
      </c>
      <c r="D56" s="320">
        <v>98.972391373882203</v>
      </c>
      <c r="E56" s="320">
        <v>8.0596674848571193E-3</v>
      </c>
      <c r="F56" s="320">
        <v>84.766665389821398</v>
      </c>
      <c r="G56" s="320">
        <v>7.27597730794227</v>
      </c>
      <c r="H56" s="320">
        <v>8.2216321879562002E-2</v>
      </c>
      <c r="I56" s="320">
        <v>1500.18697877102</v>
      </c>
      <c r="J56" s="320">
        <v>36.998260908616402</v>
      </c>
      <c r="K56" s="320">
        <v>77.449603045873104</v>
      </c>
      <c r="L56" s="384">
        <f t="shared" si="0"/>
        <v>7.7449603045873095E-5</v>
      </c>
      <c r="M56" s="320"/>
      <c r="N56" s="320"/>
      <c r="O56" s="321"/>
      <c r="P56" s="321"/>
      <c r="Y56" s="326"/>
      <c r="Z56" s="326"/>
      <c r="AA56" s="326"/>
      <c r="AB56" s="326"/>
      <c r="AC56" s="326"/>
      <c r="AD56" s="326"/>
      <c r="AG56" s="326"/>
      <c r="AH56" s="326"/>
      <c r="AI56" s="326"/>
      <c r="AL56" s="326"/>
      <c r="AM56" s="326"/>
    </row>
    <row r="57" spans="1:39" x14ac:dyDescent="0.15">
      <c r="A57" s="319">
        <v>43118.895833333336</v>
      </c>
      <c r="B57" s="320">
        <v>27</v>
      </c>
      <c r="C57" s="320">
        <v>6.9126380165772403</v>
      </c>
      <c r="D57" s="320">
        <v>98.961282235101095</v>
      </c>
      <c r="E57" s="320">
        <v>8.0000003799796104E-3</v>
      </c>
      <c r="F57" s="320">
        <v>85.229025631080901</v>
      </c>
      <c r="G57" s="320">
        <v>7.2647626991972896</v>
      </c>
      <c r="H57" s="320">
        <v>8.1141771112121203E-2</v>
      </c>
      <c r="I57" s="320">
        <v>1499.90513102916</v>
      </c>
      <c r="J57" s="320">
        <v>37.001337422702598</v>
      </c>
      <c r="K57" s="320">
        <v>77.418080977763196</v>
      </c>
      <c r="L57" s="384">
        <f t="shared" si="0"/>
        <v>7.7418080977763188E-5</v>
      </c>
      <c r="M57" s="320"/>
      <c r="N57" s="320"/>
      <c r="O57" s="321"/>
      <c r="P57" s="321"/>
      <c r="Y57" s="326"/>
      <c r="Z57" s="326"/>
      <c r="AA57" s="326"/>
      <c r="AB57" s="326"/>
      <c r="AC57" s="326"/>
      <c r="AD57" s="326"/>
      <c r="AG57" s="326"/>
      <c r="AH57" s="326"/>
      <c r="AI57" s="326"/>
      <c r="AL57" s="326"/>
      <c r="AM57" s="326"/>
    </row>
    <row r="58" spans="1:39" x14ac:dyDescent="0.15">
      <c r="A58" s="319">
        <v>43118.916666666664</v>
      </c>
      <c r="B58" s="320">
        <v>27.5</v>
      </c>
      <c r="C58" s="320">
        <v>6.9135234844177997</v>
      </c>
      <c r="D58" s="320">
        <v>98.921802112121199</v>
      </c>
      <c r="E58" s="320">
        <v>8.0000003799796104E-3</v>
      </c>
      <c r="F58" s="320">
        <v>88.166122330690399</v>
      </c>
      <c r="G58" s="320">
        <v>7.2534325903137802</v>
      </c>
      <c r="H58" s="320">
        <v>7.84738433821318E-2</v>
      </c>
      <c r="I58" s="320">
        <v>1499.62425282342</v>
      </c>
      <c r="J58" s="320">
        <v>37.007226410162197</v>
      </c>
      <c r="K58" s="320">
        <v>77.386564689884693</v>
      </c>
      <c r="L58" s="384">
        <f t="shared" si="0"/>
        <v>7.738656468988469E-5</v>
      </c>
      <c r="M58" s="320"/>
      <c r="N58" s="320"/>
      <c r="O58" s="321"/>
      <c r="P58" s="321"/>
      <c r="Y58" s="326"/>
      <c r="Z58" s="326"/>
      <c r="AA58" s="326"/>
      <c r="AB58" s="326"/>
      <c r="AC58" s="326"/>
      <c r="AD58" s="326"/>
      <c r="AG58" s="326"/>
      <c r="AH58" s="326"/>
      <c r="AI58" s="326"/>
      <c r="AL58" s="326"/>
      <c r="AM58" s="326"/>
    </row>
    <row r="59" spans="1:39" x14ac:dyDescent="0.15">
      <c r="A59" s="319">
        <v>43118.9375</v>
      </c>
      <c r="B59" s="320">
        <v>28</v>
      </c>
      <c r="C59" s="320">
        <v>6.9141258928549396</v>
      </c>
      <c r="D59" s="320">
        <v>98.888046951612097</v>
      </c>
      <c r="E59" s="320">
        <v>8.0000003799796104E-3</v>
      </c>
      <c r="F59" s="320">
        <v>88.074391512138504</v>
      </c>
      <c r="G59" s="320">
        <v>7.2425990229186503</v>
      </c>
      <c r="H59" s="320">
        <v>7.8536798903710903E-2</v>
      </c>
      <c r="I59" s="320">
        <v>1500.0605199491199</v>
      </c>
      <c r="J59" s="320">
        <v>36.997745125043501</v>
      </c>
      <c r="K59" s="320">
        <v>77.355042803538097</v>
      </c>
      <c r="L59" s="384">
        <f t="shared" si="0"/>
        <v>7.7355042803538092E-5</v>
      </c>
      <c r="M59" s="320"/>
      <c r="N59" s="320"/>
      <c r="O59" s="321"/>
      <c r="P59" s="321"/>
      <c r="Y59" s="326"/>
      <c r="Z59" s="326"/>
      <c r="AA59" s="326"/>
      <c r="AB59" s="326"/>
      <c r="AC59" s="326"/>
      <c r="AD59" s="326"/>
      <c r="AG59" s="326"/>
      <c r="AH59" s="326"/>
      <c r="AI59" s="326"/>
      <c r="AL59" s="326"/>
      <c r="AM59" s="326"/>
    </row>
    <row r="60" spans="1:39" x14ac:dyDescent="0.15">
      <c r="A60" s="319">
        <v>43118.958333333336</v>
      </c>
      <c r="B60" s="320">
        <v>28.5</v>
      </c>
      <c r="C60" s="320">
        <v>6.9243325143696701</v>
      </c>
      <c r="D60" s="320">
        <v>98.854839535395101</v>
      </c>
      <c r="E60" s="320">
        <v>8.0133517586225105E-3</v>
      </c>
      <c r="F60" s="320">
        <v>88.817738655958493</v>
      </c>
      <c r="G60" s="320">
        <v>7.2340327826479296</v>
      </c>
      <c r="H60" s="320">
        <v>7.8020872839242E-2</v>
      </c>
      <c r="I60" s="320">
        <v>1499.6938264824801</v>
      </c>
      <c r="J60" s="320">
        <v>36.997035762225401</v>
      </c>
      <c r="K60" s="320">
        <v>77.323521253738406</v>
      </c>
      <c r="L60" s="384">
        <f t="shared" si="0"/>
        <v>7.7323521253738406E-5</v>
      </c>
      <c r="M60" s="320"/>
      <c r="N60" s="320"/>
      <c r="O60" s="321"/>
      <c r="P60" s="321"/>
      <c r="Y60" s="326"/>
      <c r="Z60" s="326"/>
      <c r="AA60" s="326"/>
      <c r="AB60" s="326"/>
      <c r="AC60" s="326"/>
      <c r="AD60" s="326"/>
      <c r="AG60" s="326"/>
      <c r="AH60" s="326"/>
      <c r="AI60" s="326"/>
      <c r="AL60" s="326"/>
      <c r="AM60" s="326"/>
    </row>
    <row r="61" spans="1:39" x14ac:dyDescent="0.15">
      <c r="A61" s="319">
        <v>43118.979166666664</v>
      </c>
      <c r="B61" s="320">
        <v>29</v>
      </c>
      <c r="C61" s="320">
        <v>6.9598430257265598</v>
      </c>
      <c r="D61" s="320">
        <v>98.803561674495597</v>
      </c>
      <c r="E61" s="320">
        <v>8.0535668334432205E-3</v>
      </c>
      <c r="F61" s="320">
        <v>85.362962401682196</v>
      </c>
      <c r="G61" s="320">
        <v>7.22548586284453</v>
      </c>
      <c r="H61" s="320">
        <v>8.1602551879554105E-2</v>
      </c>
      <c r="I61" s="320">
        <v>1499.63288141454</v>
      </c>
      <c r="J61" s="320">
        <v>36.996622166337801</v>
      </c>
      <c r="K61" s="320">
        <v>77.292002521173501</v>
      </c>
      <c r="L61" s="384">
        <f t="shared" si="0"/>
        <v>7.7292002521173501E-5</v>
      </c>
      <c r="M61" s="320"/>
      <c r="N61" s="320"/>
      <c r="O61" s="321"/>
      <c r="P61" s="321"/>
      <c r="Y61" s="326"/>
      <c r="Z61" s="326"/>
      <c r="AA61" s="326"/>
      <c r="AB61" s="326"/>
      <c r="AC61" s="326"/>
      <c r="AD61" s="326"/>
      <c r="AG61" s="326"/>
      <c r="AH61" s="326"/>
      <c r="AI61" s="326"/>
      <c r="AL61" s="326"/>
      <c r="AM61" s="326"/>
    </row>
    <row r="62" spans="1:39" x14ac:dyDescent="0.15">
      <c r="A62" s="319">
        <v>43119</v>
      </c>
      <c r="B62" s="320">
        <v>29.5</v>
      </c>
      <c r="C62" s="320">
        <v>7.2824929280157003</v>
      </c>
      <c r="D62" s="320">
        <v>98.750248508844194</v>
      </c>
      <c r="E62" s="320">
        <v>8.4270094146564299E-3</v>
      </c>
      <c r="F62" s="320">
        <v>85.940161804757395</v>
      </c>
      <c r="G62" s="320">
        <v>7.2191090956412998</v>
      </c>
      <c r="H62" s="320">
        <v>8.4776115176327493E-2</v>
      </c>
      <c r="I62" s="320">
        <v>1499.7736628355101</v>
      </c>
      <c r="J62" s="320">
        <v>36.997824665899401</v>
      </c>
      <c r="K62" s="320">
        <v>77.260482654998</v>
      </c>
      <c r="L62" s="384">
        <f t="shared" si="0"/>
        <v>7.7260482654998002E-5</v>
      </c>
      <c r="M62" s="320"/>
      <c r="N62" s="320"/>
      <c r="O62" s="321"/>
      <c r="P62" s="321"/>
      <c r="Y62" s="326"/>
      <c r="Z62" s="326"/>
      <c r="AA62" s="326"/>
      <c r="AB62" s="326"/>
      <c r="AC62" s="326"/>
      <c r="AD62" s="326"/>
      <c r="AG62" s="326"/>
      <c r="AH62" s="326"/>
      <c r="AI62" s="326"/>
      <c r="AL62" s="326"/>
      <c r="AM62" s="326"/>
    </row>
    <row r="63" spans="1:39" x14ac:dyDescent="0.15">
      <c r="A63" s="319">
        <v>43119.020833333336</v>
      </c>
      <c r="B63" s="320">
        <v>30</v>
      </c>
      <c r="C63" s="320">
        <v>7.6045068652080898</v>
      </c>
      <c r="D63" s="320">
        <v>98.717637986115193</v>
      </c>
      <c r="E63" s="320">
        <v>8.7995517587898496E-3</v>
      </c>
      <c r="F63" s="320">
        <v>82.372929898361093</v>
      </c>
      <c r="G63" s="320">
        <v>7.2128771664955504</v>
      </c>
      <c r="H63" s="320">
        <v>9.2450002008886104E-2</v>
      </c>
      <c r="I63" s="320">
        <v>1500.00051735486</v>
      </c>
      <c r="J63" s="320">
        <v>37.004484877657397</v>
      </c>
      <c r="K63" s="320">
        <v>77.228963772984102</v>
      </c>
      <c r="L63" s="384">
        <f t="shared" si="0"/>
        <v>7.7228963772984095E-5</v>
      </c>
      <c r="M63" s="320"/>
      <c r="N63" s="320"/>
      <c r="O63" s="321"/>
      <c r="P63" s="321"/>
      <c r="Y63" s="326"/>
      <c r="Z63" s="326"/>
      <c r="AA63" s="326"/>
      <c r="AB63" s="326"/>
      <c r="AC63" s="326"/>
      <c r="AD63" s="326"/>
      <c r="AG63" s="326"/>
      <c r="AH63" s="326"/>
      <c r="AI63" s="326"/>
      <c r="AL63" s="326"/>
      <c r="AM63" s="326"/>
    </row>
    <row r="64" spans="1:39" x14ac:dyDescent="0.15">
      <c r="A64" s="319">
        <v>43119.041666666664</v>
      </c>
      <c r="B64" s="320">
        <v>30.5</v>
      </c>
      <c r="C64" s="320">
        <v>7.7723121736691896</v>
      </c>
      <c r="D64" s="320">
        <v>98.665928564351304</v>
      </c>
      <c r="E64" s="320">
        <v>8.9933110065915992E-3</v>
      </c>
      <c r="F64" s="320">
        <v>82.463144261437293</v>
      </c>
      <c r="G64" s="320">
        <v>7.2072096838423096</v>
      </c>
      <c r="H64" s="320">
        <v>9.4321798537554694E-2</v>
      </c>
      <c r="I64" s="320">
        <v>1500.1263946366901</v>
      </c>
      <c r="J64" s="320">
        <v>36.9989953242154</v>
      </c>
      <c r="K64" s="320">
        <v>77.197442155231897</v>
      </c>
      <c r="L64" s="384">
        <f t="shared" si="0"/>
        <v>7.7197442155231888E-5</v>
      </c>
      <c r="M64" s="320"/>
      <c r="N64" s="320"/>
      <c r="O64" s="321"/>
      <c r="P64" s="321"/>
      <c r="Y64" s="326"/>
      <c r="Z64" s="326"/>
      <c r="AA64" s="326"/>
      <c r="AB64" s="326"/>
      <c r="AC64" s="326"/>
      <c r="AD64" s="326"/>
      <c r="AG64" s="326"/>
      <c r="AH64" s="326"/>
      <c r="AI64" s="326"/>
      <c r="AL64" s="326"/>
      <c r="AM64" s="326"/>
    </row>
    <row r="65" spans="1:40" x14ac:dyDescent="0.15">
      <c r="A65" s="319">
        <v>43119.0625</v>
      </c>
      <c r="B65" s="320">
        <v>31</v>
      </c>
      <c r="C65" s="320">
        <v>7.7786980308125697</v>
      </c>
      <c r="D65" s="320">
        <v>98.646698993932404</v>
      </c>
      <c r="E65" s="320">
        <v>8.9999996125698107E-3</v>
      </c>
      <c r="F65" s="320">
        <v>83.086588530230202</v>
      </c>
      <c r="G65" s="320">
        <v>7.2028916271242096</v>
      </c>
      <c r="H65" s="320">
        <v>9.3673297189642402E-2</v>
      </c>
      <c r="I65" s="320">
        <v>1500.0634753576101</v>
      </c>
      <c r="J65" s="320">
        <v>36.9983941390281</v>
      </c>
      <c r="K65" s="320">
        <v>77.165920115571794</v>
      </c>
      <c r="L65" s="384">
        <f t="shared" si="0"/>
        <v>7.7165920115571785E-5</v>
      </c>
      <c r="M65" s="320"/>
      <c r="N65" s="320"/>
      <c r="O65" s="321"/>
      <c r="P65" s="321"/>
      <c r="Y65" s="326"/>
      <c r="Z65" s="326"/>
      <c r="AA65" s="326"/>
      <c r="AB65" s="326"/>
      <c r="AC65" s="326"/>
      <c r="AD65" s="326"/>
      <c r="AG65" s="326"/>
      <c r="AH65" s="326"/>
      <c r="AI65" s="326"/>
      <c r="AL65" s="326"/>
      <c r="AM65" s="326"/>
    </row>
    <row r="66" spans="1:40" x14ac:dyDescent="0.15">
      <c r="A66" s="319">
        <v>43119.083333333336</v>
      </c>
      <c r="B66" s="320">
        <v>31.5</v>
      </c>
      <c r="C66" s="320">
        <v>7.77864493336903</v>
      </c>
      <c r="D66" s="320">
        <v>98.603298857005697</v>
      </c>
      <c r="E66" s="320">
        <v>8.9999996125698107E-3</v>
      </c>
      <c r="F66" s="320">
        <v>83.702225115379093</v>
      </c>
      <c r="G66" s="320">
        <v>7.1981580252336101</v>
      </c>
      <c r="H66" s="320">
        <v>9.2990121217899499E-2</v>
      </c>
      <c r="I66" s="320">
        <v>1500.1305210770199</v>
      </c>
      <c r="J66" s="320">
        <v>37.001273039066497</v>
      </c>
      <c r="K66" s="320">
        <v>77.134394059764503</v>
      </c>
      <c r="L66" s="384">
        <f t="shared" si="0"/>
        <v>7.7134394059764498E-5</v>
      </c>
      <c r="M66" s="320"/>
      <c r="N66" s="320"/>
      <c r="O66" s="321"/>
      <c r="P66" s="321"/>
      <c r="Y66" s="326"/>
      <c r="Z66" s="326"/>
      <c r="AA66" s="326"/>
      <c r="AB66" s="326"/>
      <c r="AC66" s="326"/>
      <c r="AD66" s="326"/>
      <c r="AG66" s="326"/>
      <c r="AH66" s="326"/>
      <c r="AI66" s="326"/>
      <c r="AL66" s="326"/>
      <c r="AM66" s="326"/>
      <c r="AN66" s="326"/>
    </row>
    <row r="67" spans="1:40" x14ac:dyDescent="0.15">
      <c r="A67" s="319">
        <v>43119.104166666664</v>
      </c>
      <c r="B67" s="320">
        <v>32</v>
      </c>
      <c r="C67" s="320">
        <v>7.7844675561791501</v>
      </c>
      <c r="D67" s="320">
        <v>98.542440472321701</v>
      </c>
      <c r="E67" s="320">
        <v>9.0072757360598402E-3</v>
      </c>
      <c r="F67" s="320">
        <v>82.833839273889495</v>
      </c>
      <c r="G67" s="320">
        <v>7.1957911458971102</v>
      </c>
      <c r="H67" s="320">
        <v>9.4019854083140494E-2</v>
      </c>
      <c r="I67" s="320">
        <v>1500.0522255414701</v>
      </c>
      <c r="J67" s="320">
        <v>36.999331478894497</v>
      </c>
      <c r="K67" s="320">
        <v>77.102873320761304</v>
      </c>
      <c r="L67" s="384">
        <f t="shared" si="0"/>
        <v>7.7102873320761297E-5</v>
      </c>
      <c r="M67" s="320"/>
      <c r="N67" s="320"/>
      <c r="O67" s="321"/>
      <c r="P67" s="321"/>
      <c r="Y67" s="326"/>
      <c r="Z67" s="326"/>
      <c r="AA67" s="326"/>
      <c r="AB67" s="326"/>
      <c r="AC67" s="326"/>
      <c r="AD67" s="326"/>
      <c r="AG67" s="326"/>
      <c r="AH67" s="326"/>
      <c r="AI67" s="326"/>
      <c r="AL67" s="326"/>
      <c r="AM67" s="326"/>
      <c r="AN67" s="326"/>
    </row>
    <row r="68" spans="1:40" x14ac:dyDescent="0.15">
      <c r="A68" s="319">
        <v>43119.125</v>
      </c>
      <c r="B68" s="320">
        <v>32.5</v>
      </c>
      <c r="C68" s="320">
        <v>8.0041590011769994</v>
      </c>
      <c r="D68" s="320">
        <v>98.528593532798894</v>
      </c>
      <c r="E68" s="320">
        <v>9.2603941372966393E-3</v>
      </c>
      <c r="F68" s="320">
        <v>82.179927490428994</v>
      </c>
      <c r="G68" s="320">
        <v>7.1931781236247003</v>
      </c>
      <c r="H68" s="320">
        <v>9.7474975404176406E-2</v>
      </c>
      <c r="I68" s="320">
        <v>1500.0641956158099</v>
      </c>
      <c r="J68" s="320">
        <v>37.001539877604401</v>
      </c>
      <c r="K68" s="320">
        <v>77.071348351963806</v>
      </c>
      <c r="L68" s="384">
        <f t="shared" ref="L68:L83" si="1">K68*10^-6</f>
        <v>7.7071348351963806E-5</v>
      </c>
      <c r="M68" s="320"/>
      <c r="N68" s="320"/>
      <c r="O68" s="321"/>
      <c r="P68" s="321"/>
      <c r="Y68" s="326"/>
      <c r="Z68" s="326"/>
      <c r="AA68" s="326"/>
      <c r="AB68" s="326"/>
      <c r="AC68" s="326"/>
      <c r="AD68" s="326"/>
      <c r="AG68" s="326"/>
      <c r="AH68" s="326"/>
      <c r="AI68" s="326"/>
      <c r="AL68" s="326"/>
      <c r="AM68" s="326"/>
      <c r="AN68" s="326"/>
    </row>
    <row r="69" spans="1:40" x14ac:dyDescent="0.15">
      <c r="A69" s="319">
        <v>43119.145833333336</v>
      </c>
      <c r="B69" s="320">
        <v>33</v>
      </c>
      <c r="C69" s="320">
        <v>8.2805526776855007</v>
      </c>
      <c r="D69" s="320">
        <v>98.4986619075504</v>
      </c>
      <c r="E69" s="320">
        <v>9.5802441748926107E-3</v>
      </c>
      <c r="F69" s="320">
        <v>75.430826981308797</v>
      </c>
      <c r="G69" s="320">
        <v>7.1915427144200299</v>
      </c>
      <c r="H69" s="320">
        <v>0.109961970471255</v>
      </c>
      <c r="I69" s="320">
        <v>1500.2097136857799</v>
      </c>
      <c r="J69" s="320">
        <v>36.999264179081401</v>
      </c>
      <c r="K69" s="320">
        <v>77.039822811150202</v>
      </c>
      <c r="L69" s="384">
        <f t="shared" si="1"/>
        <v>7.7039822811150193E-5</v>
      </c>
      <c r="M69" s="320"/>
      <c r="N69" s="320"/>
      <c r="O69" s="321"/>
      <c r="P69" s="321"/>
      <c r="Y69" s="326"/>
      <c r="Z69" s="326"/>
      <c r="AA69" s="326"/>
      <c r="AB69" s="326"/>
      <c r="AC69" s="326"/>
      <c r="AD69" s="326"/>
      <c r="AG69" s="326"/>
      <c r="AH69" s="326"/>
      <c r="AI69" s="326"/>
      <c r="AL69" s="326"/>
      <c r="AM69" s="326"/>
      <c r="AN69" s="326"/>
    </row>
    <row r="70" spans="1:40" x14ac:dyDescent="0.15">
      <c r="A70" s="319">
        <v>43119.166666666664</v>
      </c>
      <c r="B70" s="320">
        <v>33.5</v>
      </c>
      <c r="C70" s="320">
        <v>8.5756043809566602</v>
      </c>
      <c r="D70" s="320">
        <v>98.508022984861299</v>
      </c>
      <c r="E70" s="320">
        <v>9.9197400411047704E-3</v>
      </c>
      <c r="F70" s="320">
        <v>70.454716853979605</v>
      </c>
      <c r="G70" s="320">
        <v>7.1908887056359001</v>
      </c>
      <c r="H70" s="320">
        <v>0.12191503181098901</v>
      </c>
      <c r="I70" s="320">
        <v>1500.0414407998401</v>
      </c>
      <c r="J70" s="320">
        <v>37.0042185237768</v>
      </c>
      <c r="K70" s="320">
        <v>77.008294218335493</v>
      </c>
      <c r="L70" s="384">
        <f t="shared" si="1"/>
        <v>7.7008294218335491E-5</v>
      </c>
      <c r="M70" s="320"/>
      <c r="N70" s="320"/>
      <c r="O70" s="321"/>
      <c r="P70" s="321"/>
      <c r="Y70" s="326"/>
      <c r="Z70" s="326"/>
      <c r="AA70" s="326"/>
      <c r="AB70" s="326"/>
      <c r="AC70" s="326"/>
      <c r="AD70" s="326"/>
      <c r="AG70" s="326"/>
      <c r="AH70" s="326"/>
      <c r="AI70" s="326"/>
      <c r="AL70" s="326"/>
      <c r="AM70" s="326"/>
      <c r="AN70" s="326"/>
    </row>
    <row r="71" spans="1:40" x14ac:dyDescent="0.15">
      <c r="A71" s="319">
        <v>43119.1875</v>
      </c>
      <c r="B71" s="320">
        <v>34</v>
      </c>
      <c r="C71" s="320">
        <v>8.6391744411361397</v>
      </c>
      <c r="D71" s="320">
        <v>98.499755350026405</v>
      </c>
      <c r="E71" s="320">
        <v>9.9932717198242104E-3</v>
      </c>
      <c r="F71" s="320">
        <v>64.620352206240398</v>
      </c>
      <c r="G71" s="320">
        <v>7.1914975847705698</v>
      </c>
      <c r="H71" s="320">
        <v>0.133844857793918</v>
      </c>
      <c r="I71" s="320">
        <v>1499.8732783298999</v>
      </c>
      <c r="J71" s="320">
        <v>36.999666863974497</v>
      </c>
      <c r="K71" s="320">
        <v>76.976763434869696</v>
      </c>
      <c r="L71" s="384">
        <f t="shared" si="1"/>
        <v>7.6976763434869687E-5</v>
      </c>
      <c r="M71" s="320"/>
      <c r="N71" s="320"/>
      <c r="O71" s="321"/>
      <c r="P71" s="321"/>
      <c r="Y71" s="326"/>
      <c r="Z71" s="326"/>
      <c r="AA71" s="326"/>
      <c r="AB71" s="326"/>
      <c r="AC71" s="326"/>
      <c r="AD71" s="326"/>
      <c r="AG71" s="326"/>
      <c r="AH71" s="326"/>
      <c r="AI71" s="326"/>
      <c r="AL71" s="326"/>
      <c r="AM71" s="326"/>
      <c r="AN71" s="326"/>
    </row>
    <row r="72" spans="1:40" x14ac:dyDescent="0.15">
      <c r="A72" s="319">
        <v>43119.208333333336</v>
      </c>
      <c r="B72" s="320">
        <v>34.5</v>
      </c>
      <c r="C72" s="320">
        <v>8.6446312927653501</v>
      </c>
      <c r="D72" s="320">
        <v>98.463723024387903</v>
      </c>
      <c r="E72" s="320">
        <v>9.9999997764825804E-3</v>
      </c>
      <c r="F72" s="320">
        <v>63.868995395998098</v>
      </c>
      <c r="G72" s="320">
        <v>7.19199510784218</v>
      </c>
      <c r="H72" s="320">
        <v>0.13546747986732599</v>
      </c>
      <c r="I72" s="320">
        <v>1500.10092158362</v>
      </c>
      <c r="J72" s="320">
        <v>36.995162037659902</v>
      </c>
      <c r="K72" s="320">
        <v>76.945233123276395</v>
      </c>
      <c r="L72" s="384">
        <f t="shared" si="1"/>
        <v>7.6945233123276396E-5</v>
      </c>
      <c r="M72" s="320"/>
      <c r="N72" s="320"/>
      <c r="O72" s="321"/>
      <c r="P72" s="321"/>
      <c r="Y72" s="326"/>
      <c r="Z72" s="326"/>
      <c r="AA72" s="326"/>
      <c r="AB72" s="326"/>
      <c r="AC72" s="326"/>
      <c r="AD72" s="326"/>
      <c r="AG72" s="326"/>
      <c r="AH72" s="326"/>
      <c r="AI72" s="326"/>
      <c r="AL72" s="326"/>
      <c r="AM72" s="326"/>
      <c r="AN72" s="326"/>
    </row>
    <row r="73" spans="1:40" x14ac:dyDescent="0.15">
      <c r="A73" s="319">
        <v>43119.229166666664</v>
      </c>
      <c r="B73" s="320">
        <v>35</v>
      </c>
      <c r="C73" s="320">
        <v>8.6459237631304404</v>
      </c>
      <c r="D73" s="320">
        <v>98.417063575814893</v>
      </c>
      <c r="E73" s="320">
        <v>9.9999997764825804E-3</v>
      </c>
      <c r="F73" s="320">
        <v>60.958716479938502</v>
      </c>
      <c r="G73" s="320">
        <v>7.1934099064532502</v>
      </c>
      <c r="H73" s="320">
        <v>0.142045198213785</v>
      </c>
      <c r="I73" s="320">
        <v>1499.80808213157</v>
      </c>
      <c r="J73" s="320">
        <v>37.000086776383498</v>
      </c>
      <c r="K73" s="320">
        <v>76.913699421646001</v>
      </c>
      <c r="L73" s="384">
        <f t="shared" si="1"/>
        <v>7.6913699421645994E-5</v>
      </c>
      <c r="M73" s="320"/>
      <c r="N73" s="320"/>
      <c r="O73" s="321"/>
      <c r="P73" s="321"/>
      <c r="Y73" s="326"/>
      <c r="Z73" s="326"/>
      <c r="AA73" s="326"/>
      <c r="AB73" s="326"/>
      <c r="AC73" s="326"/>
      <c r="AD73" s="326"/>
      <c r="AG73" s="326"/>
      <c r="AH73" s="326"/>
      <c r="AI73" s="326"/>
      <c r="AL73" s="326"/>
      <c r="AM73" s="326"/>
      <c r="AN73" s="326"/>
    </row>
    <row r="74" spans="1:40" x14ac:dyDescent="0.15">
      <c r="A74" s="319">
        <v>43119.25</v>
      </c>
      <c r="B74" s="320">
        <v>35.5</v>
      </c>
      <c r="C74" s="320">
        <v>8.6451831414185598</v>
      </c>
      <c r="D74" s="320">
        <v>98.392600259869596</v>
      </c>
      <c r="E74" s="320">
        <v>9.9999997764825804E-3</v>
      </c>
      <c r="F74" s="320">
        <v>60.809144815675801</v>
      </c>
      <c r="G74" s="320">
        <v>7.1947723497781197</v>
      </c>
      <c r="H74" s="320">
        <v>0.142426361629064</v>
      </c>
      <c r="I74" s="320">
        <v>1500.0975658161999</v>
      </c>
      <c r="J74" s="320">
        <v>36.995515347304902</v>
      </c>
      <c r="K74" s="320">
        <v>76.882165120182904</v>
      </c>
      <c r="L74" s="384">
        <f t="shared" si="1"/>
        <v>7.6882165120182894E-5</v>
      </c>
      <c r="M74" s="320"/>
      <c r="N74" s="320"/>
      <c r="O74" s="321"/>
      <c r="P74" s="321"/>
      <c r="Y74" s="326"/>
      <c r="Z74" s="326"/>
      <c r="AA74" s="326"/>
      <c r="AB74" s="326"/>
      <c r="AC74" s="326"/>
      <c r="AD74" s="326"/>
      <c r="AG74" s="326"/>
      <c r="AH74" s="326"/>
      <c r="AI74" s="326"/>
      <c r="AL74" s="326"/>
      <c r="AM74" s="326"/>
      <c r="AN74" s="326"/>
    </row>
    <row r="75" spans="1:40" x14ac:dyDescent="0.15">
      <c r="A75" s="319">
        <v>43119.270833333336</v>
      </c>
      <c r="B75" s="320">
        <v>36</v>
      </c>
      <c r="C75" s="320">
        <v>8.64622079925749</v>
      </c>
      <c r="D75" s="320">
        <v>98.384089684547007</v>
      </c>
      <c r="E75" s="320">
        <v>9.9999997764825804E-3</v>
      </c>
      <c r="F75" s="320">
        <v>64.702262281126593</v>
      </c>
      <c r="G75" s="320">
        <v>7.1965353104617602</v>
      </c>
      <c r="H75" s="320">
        <v>0.13384249997319</v>
      </c>
      <c r="I75" s="320">
        <v>1499.8973078257</v>
      </c>
      <c r="J75" s="320">
        <v>36.9984601557234</v>
      </c>
      <c r="K75" s="320">
        <v>76.850631563689106</v>
      </c>
      <c r="L75" s="384">
        <f t="shared" si="1"/>
        <v>7.6850631563689107E-5</v>
      </c>
      <c r="M75" s="320"/>
      <c r="N75" s="320"/>
      <c r="O75" s="321"/>
      <c r="P75" s="321"/>
      <c r="Y75" s="326"/>
      <c r="Z75" s="326"/>
      <c r="AA75" s="326"/>
      <c r="AB75" s="326"/>
      <c r="AC75" s="326"/>
      <c r="AD75" s="326"/>
      <c r="AG75" s="326"/>
      <c r="AH75" s="326"/>
      <c r="AI75" s="326"/>
      <c r="AL75" s="326"/>
      <c r="AM75" s="326"/>
      <c r="AN75" s="326"/>
    </row>
    <row r="76" spans="1:40" x14ac:dyDescent="0.15">
      <c r="A76" s="319">
        <v>43119.291666666664</v>
      </c>
      <c r="B76" s="320">
        <v>36.5</v>
      </c>
      <c r="C76" s="320">
        <v>8.6447652307903695</v>
      </c>
      <c r="D76" s="320">
        <v>98.362722529267899</v>
      </c>
      <c r="E76" s="320">
        <v>9.9999997764825804E-3</v>
      </c>
      <c r="F76" s="320">
        <v>71.3414844562338</v>
      </c>
      <c r="G76" s="320">
        <v>7.1993110938148002</v>
      </c>
      <c r="H76" s="320">
        <v>0.121255444277466</v>
      </c>
      <c r="I76" s="320">
        <v>1499.93351165442</v>
      </c>
      <c r="J76" s="320">
        <v>37.000483708402001</v>
      </c>
      <c r="K76" s="320">
        <v>76.819097547983901</v>
      </c>
      <c r="L76" s="384">
        <f t="shared" si="1"/>
        <v>7.6819097547983902E-5</v>
      </c>
      <c r="M76" s="320"/>
      <c r="N76" s="320"/>
      <c r="O76" s="321"/>
      <c r="P76" s="321"/>
      <c r="Y76" s="326"/>
      <c r="Z76" s="326"/>
      <c r="AA76" s="326"/>
      <c r="AB76" s="326"/>
      <c r="AC76" s="326"/>
      <c r="AD76" s="326"/>
      <c r="AG76" s="326"/>
      <c r="AH76" s="326"/>
      <c r="AI76" s="326"/>
      <c r="AL76" s="326"/>
      <c r="AM76" s="326"/>
      <c r="AN76" s="326"/>
    </row>
    <row r="77" spans="1:40" x14ac:dyDescent="0.15">
      <c r="A77" s="319">
        <v>43119.3125</v>
      </c>
      <c r="B77" s="320">
        <v>37</v>
      </c>
      <c r="C77" s="320">
        <v>8.6498682095297603</v>
      </c>
      <c r="D77" s="320">
        <v>98.344894182403195</v>
      </c>
      <c r="E77" s="320">
        <v>1.00066750553545E-2</v>
      </c>
      <c r="F77" s="320">
        <v>71.820969882346205</v>
      </c>
      <c r="G77" s="320">
        <v>7.2015979224250302</v>
      </c>
      <c r="H77" s="320">
        <v>0.12062961185124001</v>
      </c>
      <c r="I77" s="320">
        <v>1499.98814036215</v>
      </c>
      <c r="J77" s="320">
        <v>37.001956223643298</v>
      </c>
      <c r="K77" s="320">
        <v>76.787569451290096</v>
      </c>
      <c r="L77" s="384">
        <f t="shared" si="1"/>
        <v>7.67875694512901E-5</v>
      </c>
      <c r="M77" s="320"/>
      <c r="N77" s="320"/>
      <c r="O77" s="321"/>
      <c r="P77" s="321"/>
      <c r="Y77" s="326"/>
      <c r="Z77" s="326"/>
      <c r="AA77" s="326"/>
      <c r="AB77" s="326"/>
      <c r="AC77" s="326"/>
      <c r="AD77" s="326"/>
      <c r="AG77" s="326"/>
      <c r="AH77" s="326"/>
      <c r="AI77" s="326"/>
      <c r="AL77" s="326"/>
      <c r="AM77" s="326"/>
      <c r="AN77" s="326"/>
    </row>
    <row r="78" spans="1:40" x14ac:dyDescent="0.15">
      <c r="A78" s="319">
        <v>43119.333333333336</v>
      </c>
      <c r="B78" s="320">
        <v>37.5</v>
      </c>
      <c r="C78" s="320">
        <v>8.6491712882315603</v>
      </c>
      <c r="D78" s="320">
        <v>98.367543173221094</v>
      </c>
      <c r="E78" s="320">
        <v>1.00067097775824E-2</v>
      </c>
      <c r="F78" s="320">
        <v>76.960147715412702</v>
      </c>
      <c r="G78" s="320">
        <v>7.2043927862694002</v>
      </c>
      <c r="H78" s="320">
        <v>0.112463055706316</v>
      </c>
      <c r="I78" s="320">
        <v>1499.8127175160801</v>
      </c>
      <c r="J78" s="320">
        <v>37.000307276909297</v>
      </c>
      <c r="K78" s="320">
        <v>76.756040908456001</v>
      </c>
      <c r="L78" s="384">
        <f t="shared" si="1"/>
        <v>7.6756040908455993E-5</v>
      </c>
      <c r="M78" s="320"/>
      <c r="N78" s="320"/>
      <c r="O78" s="321"/>
      <c r="P78" s="321"/>
      <c r="Y78" s="326"/>
      <c r="Z78" s="326"/>
      <c r="AA78" s="326"/>
      <c r="AB78" s="326"/>
      <c r="AC78" s="326"/>
      <c r="AD78" s="326"/>
      <c r="AG78" s="326"/>
      <c r="AH78" s="326"/>
      <c r="AI78" s="326"/>
      <c r="AL78" s="326"/>
      <c r="AM78" s="326"/>
      <c r="AN78" s="326"/>
    </row>
    <row r="79" spans="1:40" x14ac:dyDescent="0.15">
      <c r="A79" s="319">
        <v>43119.354166666664</v>
      </c>
      <c r="B79" s="320">
        <v>38</v>
      </c>
      <c r="C79" s="320">
        <v>8.6493853293634793</v>
      </c>
      <c r="D79" s="320">
        <v>98.362600943592298</v>
      </c>
      <c r="E79" s="320">
        <v>1.0006670888687201E-2</v>
      </c>
      <c r="F79" s="320">
        <v>77.697558399749397</v>
      </c>
      <c r="G79" s="320">
        <v>7.2074118528012399</v>
      </c>
      <c r="H79" s="320">
        <v>0.11137064709920599</v>
      </c>
      <c r="I79" s="320">
        <v>1499.82863266088</v>
      </c>
      <c r="J79" s="320">
        <v>37.001495755171398</v>
      </c>
      <c r="K79" s="320">
        <v>76.724516740502594</v>
      </c>
      <c r="L79" s="384">
        <f t="shared" si="1"/>
        <v>7.6724516740502593E-5</v>
      </c>
      <c r="M79" s="320"/>
      <c r="N79" s="320"/>
      <c r="O79" s="321"/>
      <c r="P79" s="321"/>
      <c r="Y79" s="326"/>
      <c r="Z79" s="326"/>
      <c r="AA79" s="326"/>
      <c r="AB79" s="326"/>
      <c r="AC79" s="326"/>
      <c r="AD79" s="326"/>
      <c r="AG79" s="326"/>
      <c r="AH79" s="326"/>
      <c r="AI79" s="326"/>
      <c r="AL79" s="326"/>
      <c r="AM79" s="326"/>
      <c r="AN79" s="326"/>
    </row>
    <row r="80" spans="1:40" x14ac:dyDescent="0.15">
      <c r="A80" s="319">
        <v>43119.375</v>
      </c>
      <c r="B80" s="320">
        <v>38.5</v>
      </c>
      <c r="C80" s="320">
        <v>8.6441343591003594</v>
      </c>
      <c r="D80" s="320">
        <v>98.346965589240597</v>
      </c>
      <c r="E80" s="320">
        <v>9.9999997764825804E-3</v>
      </c>
      <c r="F80" s="320">
        <v>74.626368525171301</v>
      </c>
      <c r="G80" s="320">
        <v>7.2094869966714201</v>
      </c>
      <c r="H80" s="320">
        <v>0.115920876678305</v>
      </c>
      <c r="I80" s="320">
        <v>1500.07345070356</v>
      </c>
      <c r="J80" s="320">
        <v>37.0056002249218</v>
      </c>
      <c r="K80" s="320">
        <v>76.6929872976837</v>
      </c>
      <c r="L80" s="384">
        <f t="shared" si="1"/>
        <v>7.6692987297683702E-5</v>
      </c>
      <c r="M80" s="320"/>
      <c r="N80" s="320"/>
      <c r="O80" s="321"/>
      <c r="P80" s="321"/>
      <c r="Y80" s="326"/>
      <c r="Z80" s="326"/>
      <c r="AA80" s="326"/>
      <c r="AB80" s="326"/>
      <c r="AC80" s="326"/>
      <c r="AD80" s="326"/>
      <c r="AG80" s="326"/>
      <c r="AH80" s="326"/>
      <c r="AI80" s="326"/>
      <c r="AL80" s="326"/>
      <c r="AM80" s="326"/>
      <c r="AN80" s="326"/>
    </row>
    <row r="81" spans="1:40" x14ac:dyDescent="0.15">
      <c r="A81" s="319">
        <v>43119.395833333336</v>
      </c>
      <c r="B81" s="320">
        <v>39</v>
      </c>
      <c r="C81" s="320">
        <v>8.6434271496373096</v>
      </c>
      <c r="D81" s="320">
        <v>98.371302561573899</v>
      </c>
      <c r="E81" s="320">
        <v>9.9999997764825804E-3</v>
      </c>
      <c r="F81" s="320">
        <v>71.618908746973304</v>
      </c>
      <c r="G81" s="320">
        <v>7.2125353079145702</v>
      </c>
      <c r="H81" s="320">
        <v>0.12076865946625399</v>
      </c>
      <c r="I81" s="320">
        <v>1499.64549325189</v>
      </c>
      <c r="J81" s="320">
        <v>36.996845206672702</v>
      </c>
      <c r="K81" s="320">
        <v>76.661461382453396</v>
      </c>
      <c r="L81" s="384">
        <f t="shared" si="1"/>
        <v>7.6661461382453392E-5</v>
      </c>
      <c r="M81" s="320"/>
      <c r="N81" s="320"/>
      <c r="O81" s="321"/>
      <c r="P81" s="321"/>
      <c r="Y81" s="326"/>
      <c r="Z81" s="326"/>
      <c r="AA81" s="326"/>
      <c r="AB81" s="326"/>
      <c r="AC81" s="326"/>
      <c r="AD81" s="326"/>
      <c r="AG81" s="326"/>
      <c r="AH81" s="326"/>
      <c r="AI81" s="326"/>
      <c r="AL81" s="326"/>
      <c r="AM81" s="326"/>
      <c r="AN81" s="326"/>
    </row>
    <row r="82" spans="1:40" x14ac:dyDescent="0.15">
      <c r="A82" s="319">
        <v>43119.416666666664</v>
      </c>
      <c r="B82" s="320">
        <v>39.5</v>
      </c>
      <c r="C82" s="320">
        <v>8.6445978192846091</v>
      </c>
      <c r="D82" s="320">
        <v>98.413747046588</v>
      </c>
      <c r="E82" s="320">
        <v>9.9999997764825804E-3</v>
      </c>
      <c r="F82" s="320">
        <v>71.4939545956139</v>
      </c>
      <c r="G82" s="320">
        <v>7.2154650524694102</v>
      </c>
      <c r="H82" s="320">
        <v>0.120994576048294</v>
      </c>
      <c r="I82" s="320">
        <v>1500.1524502049001</v>
      </c>
      <c r="J82" s="320">
        <v>36.995323541330897</v>
      </c>
      <c r="K82" s="320">
        <v>76.629932856918401</v>
      </c>
      <c r="L82" s="384">
        <f t="shared" si="1"/>
        <v>7.6629932856918395E-5</v>
      </c>
      <c r="M82" s="320"/>
      <c r="N82" s="320"/>
      <c r="O82" s="321"/>
      <c r="P82" s="321"/>
      <c r="Y82" s="326"/>
      <c r="Z82" s="326"/>
      <c r="AA82" s="326"/>
      <c r="AB82" s="326"/>
      <c r="AC82" s="326"/>
      <c r="AD82" s="326"/>
      <c r="AG82" s="326"/>
      <c r="AH82" s="326"/>
      <c r="AI82" s="326"/>
      <c r="AL82" s="326"/>
      <c r="AM82" s="326"/>
      <c r="AN82" s="326"/>
    </row>
    <row r="83" spans="1:40" x14ac:dyDescent="0.15">
      <c r="A83" s="319">
        <v>43119.4375</v>
      </c>
      <c r="B83" s="320">
        <v>40</v>
      </c>
      <c r="C83" s="320">
        <v>8.4253766510223205</v>
      </c>
      <c r="D83" s="320">
        <v>98.362298767434694</v>
      </c>
      <c r="E83" s="320">
        <v>9.7397268844871994E-3</v>
      </c>
      <c r="F83" s="320">
        <v>73.720872359070299</v>
      </c>
      <c r="G83" s="320">
        <v>7.2177213341351498</v>
      </c>
      <c r="H83" s="320">
        <v>0.113521723905756</v>
      </c>
      <c r="I83" s="320">
        <v>1499.8509924360001</v>
      </c>
      <c r="J83" s="320">
        <v>37.0088943319005</v>
      </c>
      <c r="K83" s="320">
        <v>75.335391106202394</v>
      </c>
      <c r="L83" s="384">
        <f t="shared" si="1"/>
        <v>7.5335391106202393E-5</v>
      </c>
      <c r="M83" s="320"/>
      <c r="N83" s="320"/>
      <c r="O83" s="321"/>
      <c r="P83" s="321"/>
      <c r="Y83" s="326"/>
      <c r="Z83" s="326"/>
      <c r="AA83" s="326"/>
      <c r="AB83" s="326"/>
      <c r="AC83" s="326"/>
      <c r="AD83" s="326"/>
      <c r="AG83" s="326"/>
      <c r="AH83" s="326"/>
      <c r="AI83" s="326"/>
      <c r="AL83" s="326"/>
      <c r="AM83" s="326"/>
      <c r="AN83" s="326"/>
    </row>
    <row r="84" spans="1:40" x14ac:dyDescent="0.15">
      <c r="A84" s="319"/>
      <c r="B84" s="320"/>
      <c r="C84" s="320"/>
      <c r="D84" s="320"/>
      <c r="E84" s="320"/>
      <c r="F84" s="320"/>
      <c r="G84" s="320"/>
      <c r="H84" s="320"/>
      <c r="I84" s="320"/>
      <c r="J84" s="320"/>
      <c r="K84" s="320"/>
      <c r="L84" s="320"/>
      <c r="M84" s="320"/>
      <c r="N84" s="320"/>
      <c r="O84" s="321"/>
      <c r="P84" s="321"/>
      <c r="Y84" s="326"/>
      <c r="Z84" s="326"/>
      <c r="AA84" s="326"/>
      <c r="AB84" s="326"/>
      <c r="AC84" s="326"/>
      <c r="AD84" s="326"/>
      <c r="AG84" s="326"/>
      <c r="AH84" s="326"/>
      <c r="AI84" s="326"/>
      <c r="AL84" s="326"/>
      <c r="AM84" s="326"/>
      <c r="AN84" s="326"/>
    </row>
    <row r="85" spans="1:40" x14ac:dyDescent="0.15">
      <c r="A85" s="319"/>
      <c r="B85" s="320"/>
      <c r="C85" s="320"/>
      <c r="D85" s="320"/>
      <c r="E85" s="320"/>
      <c r="F85" s="320"/>
      <c r="G85" s="320"/>
      <c r="H85" s="320"/>
      <c r="I85" s="320"/>
      <c r="J85" s="320"/>
      <c r="K85" s="320"/>
      <c r="L85" s="320"/>
      <c r="M85" s="320"/>
      <c r="N85" s="320"/>
      <c r="O85" s="321"/>
      <c r="P85" s="321"/>
      <c r="Y85" s="326"/>
      <c r="Z85" s="326"/>
      <c r="AA85" s="326"/>
      <c r="AB85" s="326"/>
      <c r="AC85" s="326"/>
      <c r="AD85" s="326"/>
      <c r="AG85" s="326"/>
      <c r="AH85" s="326"/>
      <c r="AI85" s="326"/>
      <c r="AL85" s="326"/>
      <c r="AM85" s="326"/>
      <c r="AN85" s="326"/>
    </row>
    <row r="86" spans="1:40" x14ac:dyDescent="0.15">
      <c r="A86" s="319"/>
      <c r="B86" s="320"/>
      <c r="C86" s="320"/>
      <c r="D86" s="320"/>
      <c r="E86" s="320"/>
      <c r="F86" s="320"/>
      <c r="G86" s="320"/>
      <c r="H86" s="320"/>
      <c r="I86" s="320"/>
      <c r="J86" s="320"/>
      <c r="K86" s="320"/>
      <c r="L86" s="320"/>
      <c r="M86" s="320"/>
      <c r="N86" s="320"/>
      <c r="O86" s="321"/>
      <c r="P86" s="321"/>
      <c r="Y86" s="326"/>
      <c r="Z86" s="326"/>
      <c r="AA86" s="326"/>
      <c r="AB86" s="326"/>
      <c r="AC86" s="326"/>
      <c r="AD86" s="326"/>
      <c r="AG86" s="326"/>
      <c r="AH86" s="326"/>
      <c r="AI86" s="326"/>
      <c r="AL86" s="326"/>
      <c r="AM86" s="326"/>
      <c r="AN86" s="326"/>
    </row>
    <row r="87" spans="1:40" x14ac:dyDescent="0.15">
      <c r="A87" s="319"/>
      <c r="B87" s="320"/>
      <c r="C87" s="320"/>
      <c r="D87" s="320"/>
      <c r="E87" s="320"/>
      <c r="F87" s="320"/>
      <c r="G87" s="320"/>
      <c r="H87" s="320"/>
      <c r="I87" s="320"/>
      <c r="J87" s="320"/>
      <c r="K87" s="320"/>
      <c r="L87" s="320"/>
      <c r="M87" s="320"/>
      <c r="N87" s="320"/>
      <c r="O87" s="321"/>
      <c r="P87" s="321"/>
      <c r="Y87" s="326"/>
      <c r="Z87" s="326"/>
      <c r="AA87" s="326"/>
      <c r="AB87" s="326"/>
      <c r="AC87" s="326"/>
      <c r="AD87" s="326"/>
      <c r="AG87" s="326"/>
      <c r="AH87" s="326"/>
      <c r="AI87" s="326"/>
      <c r="AL87" s="326"/>
      <c r="AM87" s="326"/>
      <c r="AN87" s="326"/>
    </row>
    <row r="88" spans="1:40" x14ac:dyDescent="0.15">
      <c r="A88" s="319"/>
      <c r="B88" s="320"/>
      <c r="C88" s="320"/>
      <c r="D88" s="320"/>
      <c r="E88" s="320"/>
      <c r="F88" s="320"/>
      <c r="G88" s="320"/>
      <c r="H88" s="320"/>
      <c r="I88" s="320"/>
      <c r="J88" s="320"/>
      <c r="K88" s="320"/>
      <c r="L88" s="320"/>
      <c r="M88" s="320"/>
      <c r="N88" s="320"/>
      <c r="O88" s="321"/>
      <c r="P88" s="321"/>
      <c r="Y88" s="326"/>
      <c r="Z88" s="326"/>
      <c r="AA88" s="326"/>
      <c r="AB88" s="326"/>
      <c r="AC88" s="326"/>
      <c r="AD88" s="326"/>
      <c r="AG88" s="326"/>
      <c r="AH88" s="326"/>
      <c r="AI88" s="326"/>
      <c r="AL88" s="326"/>
      <c r="AM88" s="326"/>
      <c r="AN88" s="326"/>
    </row>
    <row r="89" spans="1:40" x14ac:dyDescent="0.15">
      <c r="A89" s="319"/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1"/>
      <c r="P89" s="321"/>
      <c r="Y89" s="326"/>
      <c r="Z89" s="326"/>
      <c r="AA89" s="326"/>
      <c r="AB89" s="326"/>
      <c r="AC89" s="326"/>
      <c r="AD89" s="326"/>
      <c r="AG89" s="326"/>
      <c r="AH89" s="326"/>
      <c r="AI89" s="326"/>
      <c r="AL89" s="326"/>
      <c r="AM89" s="326"/>
      <c r="AN89" s="326"/>
    </row>
    <row r="90" spans="1:40" x14ac:dyDescent="0.15">
      <c r="A90" s="319"/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1"/>
      <c r="P90" s="321"/>
      <c r="Y90" s="326"/>
      <c r="Z90" s="326"/>
      <c r="AB90" s="326"/>
      <c r="AC90" s="326"/>
      <c r="AD90" s="326"/>
      <c r="AG90" s="326"/>
      <c r="AH90" s="326"/>
      <c r="AI90" s="326"/>
      <c r="AL90" s="326"/>
      <c r="AM90" s="326"/>
      <c r="AN90" s="326"/>
    </row>
    <row r="91" spans="1:40" x14ac:dyDescent="0.15">
      <c r="A91" s="319"/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1"/>
      <c r="P91" s="321"/>
      <c r="Y91" s="326"/>
      <c r="Z91" s="326"/>
      <c r="AB91" s="326"/>
      <c r="AC91" s="326"/>
      <c r="AD91" s="326"/>
      <c r="AG91" s="326"/>
      <c r="AH91" s="326"/>
      <c r="AI91" s="326"/>
      <c r="AL91" s="326"/>
      <c r="AM91" s="326"/>
      <c r="AN91" s="326"/>
    </row>
    <row r="92" spans="1:40" x14ac:dyDescent="0.15">
      <c r="A92" s="319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1"/>
      <c r="P92" s="321"/>
      <c r="Y92" s="326"/>
      <c r="Z92" s="326"/>
      <c r="AB92" s="326"/>
      <c r="AC92" s="326"/>
      <c r="AD92" s="326"/>
      <c r="AG92" s="326"/>
      <c r="AH92" s="326"/>
      <c r="AI92" s="326"/>
      <c r="AL92" s="326"/>
      <c r="AM92" s="326"/>
      <c r="AN92" s="326"/>
    </row>
    <row r="93" spans="1:40" x14ac:dyDescent="0.15">
      <c r="A93" s="319"/>
      <c r="B93" s="320"/>
      <c r="C93" s="320"/>
      <c r="D93" s="320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1"/>
      <c r="P93" s="321"/>
      <c r="Y93" s="326"/>
      <c r="Z93" s="326"/>
      <c r="AB93" s="326"/>
      <c r="AC93" s="326"/>
      <c r="AD93" s="326"/>
      <c r="AG93" s="326"/>
      <c r="AH93" s="326"/>
      <c r="AI93" s="326"/>
      <c r="AL93" s="326"/>
      <c r="AM93" s="326"/>
      <c r="AN93" s="326"/>
    </row>
    <row r="94" spans="1:40" x14ac:dyDescent="0.15">
      <c r="A94" s="319"/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P94" s="321"/>
      <c r="Y94" s="326"/>
      <c r="Z94" s="326"/>
      <c r="AB94" s="326"/>
      <c r="AC94" s="326"/>
      <c r="AD94" s="326"/>
      <c r="AG94" s="326"/>
      <c r="AH94" s="326"/>
      <c r="AI94" s="326"/>
      <c r="AL94" s="326"/>
      <c r="AM94" s="326"/>
      <c r="AN94" s="326"/>
    </row>
    <row r="95" spans="1:40" x14ac:dyDescent="0.15">
      <c r="A95" s="319"/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1"/>
      <c r="P95" s="321"/>
      <c r="Y95" s="326"/>
      <c r="AB95" s="326"/>
      <c r="AC95" s="326"/>
      <c r="AD95" s="326"/>
      <c r="AG95" s="326"/>
      <c r="AH95" s="326"/>
      <c r="AI95" s="326"/>
      <c r="AL95" s="326"/>
      <c r="AM95" s="326"/>
      <c r="AN95" s="326"/>
    </row>
    <row r="96" spans="1:40" x14ac:dyDescent="0.15">
      <c r="A96" s="319"/>
      <c r="B96" s="320"/>
      <c r="C96" s="320"/>
      <c r="D96" s="320"/>
      <c r="E96" s="320"/>
      <c r="F96" s="320"/>
      <c r="G96" s="320"/>
      <c r="H96" s="320"/>
      <c r="I96" s="320"/>
      <c r="J96" s="320"/>
      <c r="K96" s="320"/>
      <c r="L96" s="320"/>
      <c r="M96" s="320"/>
      <c r="N96" s="320"/>
      <c r="O96" s="321"/>
      <c r="P96" s="321"/>
      <c r="Y96" s="326"/>
      <c r="AB96" s="326"/>
      <c r="AC96" s="326"/>
      <c r="AD96" s="326"/>
      <c r="AG96" s="326"/>
      <c r="AH96" s="326"/>
      <c r="AI96" s="326"/>
      <c r="AL96" s="326"/>
      <c r="AM96" s="326"/>
      <c r="AN96" s="326"/>
    </row>
    <row r="97" spans="1:40" x14ac:dyDescent="0.15">
      <c r="A97" s="319"/>
      <c r="B97" s="320"/>
      <c r="C97" s="320"/>
      <c r="D97" s="320"/>
      <c r="E97" s="320"/>
      <c r="F97" s="320"/>
      <c r="G97" s="320"/>
      <c r="H97" s="320"/>
      <c r="I97" s="320"/>
      <c r="J97" s="320"/>
      <c r="K97" s="320"/>
      <c r="L97" s="320"/>
      <c r="M97" s="320"/>
      <c r="N97" s="320"/>
      <c r="O97" s="321"/>
      <c r="P97" s="321"/>
      <c r="Y97" s="326"/>
      <c r="AB97" s="326"/>
      <c r="AC97" s="326"/>
      <c r="AD97" s="326"/>
      <c r="AG97" s="326"/>
      <c r="AH97" s="326"/>
      <c r="AI97" s="326"/>
      <c r="AL97" s="326"/>
      <c r="AM97" s="326"/>
      <c r="AN97" s="326"/>
    </row>
    <row r="98" spans="1:40" x14ac:dyDescent="0.15">
      <c r="A98" s="319"/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1"/>
      <c r="P98" s="321"/>
      <c r="Y98" s="326"/>
      <c r="AB98" s="326"/>
      <c r="AC98" s="326"/>
      <c r="AD98" s="326"/>
      <c r="AG98" s="326"/>
      <c r="AH98" s="326"/>
      <c r="AI98" s="326"/>
      <c r="AL98" s="326"/>
      <c r="AM98" s="326"/>
      <c r="AN98" s="326"/>
    </row>
    <row r="99" spans="1:40" x14ac:dyDescent="0.15">
      <c r="A99" s="319"/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1"/>
      <c r="P99" s="321"/>
      <c r="Y99" s="326"/>
      <c r="AB99" s="326"/>
      <c r="AC99" s="326"/>
      <c r="AD99" s="326"/>
      <c r="AG99" s="326"/>
      <c r="AH99" s="326"/>
      <c r="AI99" s="326"/>
      <c r="AL99" s="326"/>
      <c r="AM99" s="326"/>
      <c r="AN99" s="326"/>
    </row>
    <row r="100" spans="1:40" x14ac:dyDescent="0.15">
      <c r="A100" s="319"/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1"/>
      <c r="P100" s="321"/>
      <c r="Y100" s="326"/>
      <c r="AB100" s="326"/>
      <c r="AC100" s="326"/>
      <c r="AD100" s="326"/>
      <c r="AG100" s="326"/>
      <c r="AH100" s="326"/>
      <c r="AI100" s="326"/>
      <c r="AL100" s="326"/>
      <c r="AM100" s="326"/>
      <c r="AN100" s="326"/>
    </row>
    <row r="101" spans="1:40" x14ac:dyDescent="0.15">
      <c r="A101" s="319"/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1"/>
      <c r="P101" s="321"/>
      <c r="Y101" s="326"/>
      <c r="AB101" s="326"/>
      <c r="AC101" s="326"/>
      <c r="AD101" s="326"/>
      <c r="AG101" s="326"/>
      <c r="AH101" s="326"/>
      <c r="AI101" s="326"/>
      <c r="AL101" s="326"/>
      <c r="AM101" s="326"/>
      <c r="AN101" s="326"/>
    </row>
    <row r="102" spans="1:40" x14ac:dyDescent="0.15">
      <c r="A102" s="319"/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1"/>
      <c r="P102" s="321"/>
      <c r="Y102" s="326"/>
      <c r="AB102" s="326"/>
      <c r="AC102" s="326"/>
      <c r="AD102" s="326"/>
      <c r="AG102" s="326"/>
      <c r="AH102" s="326"/>
      <c r="AI102" s="326"/>
      <c r="AL102" s="326"/>
      <c r="AM102" s="326"/>
      <c r="AN102" s="326"/>
    </row>
    <row r="103" spans="1:40" x14ac:dyDescent="0.15">
      <c r="A103" s="319"/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1"/>
      <c r="P103" s="321"/>
      <c r="Y103" s="326"/>
      <c r="AB103" s="326"/>
      <c r="AC103" s="326"/>
      <c r="AD103" s="326"/>
      <c r="AG103" s="326"/>
      <c r="AH103" s="326"/>
      <c r="AI103" s="326"/>
      <c r="AL103" s="326"/>
      <c r="AM103" s="326"/>
      <c r="AN103" s="326"/>
    </row>
    <row r="104" spans="1:40" x14ac:dyDescent="0.15">
      <c r="A104" s="319"/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1"/>
      <c r="P104" s="321"/>
      <c r="Y104" s="326"/>
      <c r="AB104" s="326"/>
      <c r="AC104" s="326"/>
      <c r="AD104" s="326"/>
      <c r="AG104" s="326"/>
      <c r="AH104" s="326"/>
      <c r="AI104" s="326"/>
      <c r="AL104" s="326"/>
      <c r="AM104" s="326"/>
      <c r="AN104" s="326"/>
    </row>
    <row r="105" spans="1:40" x14ac:dyDescent="0.15">
      <c r="A105" s="319"/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1"/>
      <c r="P105" s="321"/>
      <c r="Y105" s="326"/>
      <c r="AB105" s="326"/>
      <c r="AC105" s="326"/>
      <c r="AD105" s="326"/>
      <c r="AG105" s="326"/>
      <c r="AH105" s="326"/>
      <c r="AI105" s="326"/>
      <c r="AL105" s="326"/>
      <c r="AM105" s="326"/>
      <c r="AN105" s="326"/>
    </row>
    <row r="106" spans="1:40" x14ac:dyDescent="0.15">
      <c r="A106" s="319"/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1"/>
      <c r="P106" s="321"/>
      <c r="Y106" s="326"/>
      <c r="AB106" s="326"/>
      <c r="AC106" s="326"/>
      <c r="AD106" s="326"/>
      <c r="AG106" s="326"/>
      <c r="AH106" s="326"/>
      <c r="AI106" s="326"/>
      <c r="AL106" s="326"/>
      <c r="AM106" s="326"/>
      <c r="AN106" s="326"/>
    </row>
    <row r="107" spans="1:40" x14ac:dyDescent="0.15">
      <c r="A107" s="319"/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1"/>
      <c r="P107" s="321"/>
      <c r="Y107" s="326"/>
      <c r="AB107" s="326"/>
      <c r="AC107" s="326"/>
      <c r="AD107" s="326"/>
      <c r="AG107" s="326"/>
      <c r="AH107" s="326"/>
      <c r="AI107" s="326"/>
      <c r="AL107" s="326"/>
      <c r="AM107" s="326"/>
      <c r="AN107" s="326"/>
    </row>
    <row r="108" spans="1:40" x14ac:dyDescent="0.15">
      <c r="A108" s="319"/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1"/>
      <c r="P108" s="321"/>
      <c r="Y108" s="326"/>
      <c r="AB108" s="326"/>
      <c r="AC108" s="326"/>
      <c r="AD108" s="326"/>
      <c r="AG108" s="326"/>
      <c r="AH108" s="326"/>
      <c r="AI108" s="326"/>
      <c r="AL108" s="326"/>
      <c r="AM108" s="326"/>
      <c r="AN108" s="326"/>
    </row>
    <row r="109" spans="1:40" x14ac:dyDescent="0.15">
      <c r="A109" s="319"/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1"/>
      <c r="P109" s="321"/>
      <c r="Y109" s="326"/>
      <c r="AB109" s="326"/>
      <c r="AC109" s="326"/>
      <c r="AD109" s="326"/>
      <c r="AG109" s="326"/>
      <c r="AH109" s="326"/>
      <c r="AI109" s="326"/>
      <c r="AL109" s="326"/>
      <c r="AM109" s="326"/>
      <c r="AN109" s="326"/>
    </row>
    <row r="110" spans="1:40" x14ac:dyDescent="0.15">
      <c r="A110" s="319"/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1"/>
      <c r="P110" s="321"/>
      <c r="Y110" s="326"/>
      <c r="AB110" s="326"/>
      <c r="AC110" s="326"/>
      <c r="AD110" s="326"/>
      <c r="AG110" s="326"/>
      <c r="AH110" s="326"/>
      <c r="AI110" s="326"/>
      <c r="AL110" s="326"/>
      <c r="AM110" s="326"/>
      <c r="AN110" s="326"/>
    </row>
    <row r="111" spans="1:40" x14ac:dyDescent="0.15">
      <c r="A111" s="319"/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1"/>
      <c r="P111" s="321"/>
      <c r="Y111" s="326"/>
      <c r="AB111" s="326"/>
      <c r="AC111" s="326"/>
      <c r="AD111" s="326"/>
      <c r="AG111" s="326"/>
      <c r="AH111" s="326"/>
      <c r="AI111" s="326"/>
      <c r="AL111" s="326"/>
      <c r="AM111" s="326"/>
      <c r="AN111" s="326"/>
    </row>
    <row r="112" spans="1:40" x14ac:dyDescent="0.15">
      <c r="A112" s="319"/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1"/>
      <c r="P112" s="321"/>
      <c r="Y112" s="326"/>
      <c r="AB112" s="326"/>
      <c r="AC112" s="326"/>
      <c r="AD112" s="326"/>
      <c r="AG112" s="326"/>
      <c r="AH112" s="326"/>
      <c r="AI112" s="326"/>
      <c r="AL112" s="326"/>
      <c r="AM112" s="326"/>
      <c r="AN112" s="326"/>
    </row>
    <row r="113" spans="1:40" x14ac:dyDescent="0.15">
      <c r="A113" s="319"/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1"/>
      <c r="P113" s="321"/>
      <c r="Y113" s="326"/>
      <c r="AB113" s="326"/>
      <c r="AC113" s="326"/>
      <c r="AD113" s="326"/>
      <c r="AG113" s="326"/>
      <c r="AH113" s="326"/>
      <c r="AI113" s="326"/>
      <c r="AL113" s="326"/>
      <c r="AM113" s="326"/>
      <c r="AN113" s="326"/>
    </row>
    <row r="114" spans="1:40" x14ac:dyDescent="0.15">
      <c r="A114" s="319"/>
      <c r="B114" s="320"/>
      <c r="C114" s="320"/>
      <c r="D114" s="320"/>
      <c r="E114" s="320"/>
      <c r="F114" s="320"/>
      <c r="G114" s="320"/>
      <c r="H114" s="320"/>
      <c r="I114" s="320"/>
      <c r="J114" s="320"/>
      <c r="K114" s="320"/>
      <c r="L114" s="320"/>
      <c r="M114" s="320"/>
      <c r="N114" s="320"/>
      <c r="O114" s="321"/>
      <c r="P114" s="321"/>
      <c r="Y114" s="326"/>
      <c r="AB114" s="326"/>
      <c r="AC114" s="326"/>
      <c r="AD114" s="326"/>
      <c r="AG114" s="326"/>
      <c r="AH114" s="326"/>
      <c r="AI114" s="326"/>
      <c r="AL114" s="326"/>
      <c r="AM114" s="326"/>
      <c r="AN114" s="326"/>
    </row>
    <row r="115" spans="1:40" x14ac:dyDescent="0.15">
      <c r="A115" s="319"/>
      <c r="B115" s="320"/>
      <c r="C115" s="320"/>
      <c r="D115" s="320"/>
      <c r="E115" s="320"/>
      <c r="F115" s="320"/>
      <c r="G115" s="320"/>
      <c r="H115" s="320"/>
      <c r="I115" s="320"/>
      <c r="J115" s="320"/>
      <c r="K115" s="320"/>
      <c r="L115" s="320"/>
      <c r="M115" s="320"/>
      <c r="N115" s="320"/>
      <c r="O115" s="321"/>
      <c r="P115" s="321"/>
      <c r="Y115" s="326"/>
      <c r="AB115" s="326"/>
      <c r="AC115" s="326"/>
      <c r="AD115" s="326"/>
      <c r="AG115" s="326"/>
      <c r="AH115" s="326"/>
      <c r="AI115" s="326"/>
      <c r="AL115" s="326"/>
      <c r="AM115" s="326"/>
      <c r="AN115" s="326"/>
    </row>
    <row r="116" spans="1:40" x14ac:dyDescent="0.15">
      <c r="A116" s="319"/>
      <c r="B116" s="320"/>
      <c r="C116" s="320"/>
      <c r="D116" s="320"/>
      <c r="E116" s="320"/>
      <c r="F116" s="320"/>
      <c r="G116" s="320"/>
      <c r="H116" s="320"/>
      <c r="I116" s="320"/>
      <c r="J116" s="320"/>
      <c r="K116" s="320"/>
      <c r="L116" s="320"/>
      <c r="M116" s="320"/>
      <c r="N116" s="320"/>
      <c r="O116" s="321"/>
      <c r="P116" s="321"/>
      <c r="Y116" s="326"/>
      <c r="AB116" s="326"/>
      <c r="AC116" s="326"/>
      <c r="AD116" s="326"/>
      <c r="AG116" s="326"/>
      <c r="AH116" s="326"/>
      <c r="AI116" s="326"/>
      <c r="AL116" s="326"/>
      <c r="AM116" s="326"/>
      <c r="AN116" s="326"/>
    </row>
    <row r="117" spans="1:40" x14ac:dyDescent="0.15">
      <c r="A117" s="319"/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  <c r="O117" s="321"/>
      <c r="P117" s="321"/>
      <c r="Y117" s="326"/>
      <c r="AB117" s="326"/>
      <c r="AC117" s="326"/>
      <c r="AD117" s="326"/>
      <c r="AG117" s="326"/>
      <c r="AH117" s="326"/>
      <c r="AI117" s="326"/>
      <c r="AL117" s="326"/>
      <c r="AM117" s="326"/>
      <c r="AN117" s="326"/>
    </row>
    <row r="118" spans="1:40" x14ac:dyDescent="0.15">
      <c r="A118" s="319"/>
      <c r="B118" s="320"/>
      <c r="C118" s="320"/>
      <c r="D118" s="320"/>
      <c r="E118" s="320"/>
      <c r="F118" s="320"/>
      <c r="G118" s="320"/>
      <c r="H118" s="320"/>
      <c r="I118" s="320"/>
      <c r="J118" s="320"/>
      <c r="K118" s="320"/>
      <c r="L118" s="320"/>
      <c r="M118" s="320"/>
      <c r="N118" s="320"/>
      <c r="O118" s="321"/>
      <c r="P118" s="321"/>
      <c r="Y118" s="326"/>
      <c r="Z118" s="326"/>
      <c r="AB118" s="326"/>
      <c r="AC118" s="326"/>
      <c r="AD118" s="326"/>
      <c r="AG118" s="326"/>
      <c r="AH118" s="326"/>
      <c r="AI118" s="326"/>
      <c r="AL118" s="326"/>
      <c r="AM118" s="326"/>
      <c r="AN118" s="326"/>
    </row>
    <row r="119" spans="1:40" x14ac:dyDescent="0.15">
      <c r="A119" s="319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1"/>
      <c r="P119" s="321"/>
      <c r="Y119" s="326"/>
      <c r="Z119" s="326"/>
      <c r="AB119" s="326"/>
      <c r="AC119" s="326"/>
      <c r="AD119" s="326"/>
      <c r="AG119" s="326"/>
      <c r="AH119" s="326"/>
      <c r="AI119" s="326"/>
      <c r="AL119" s="326"/>
      <c r="AM119" s="326"/>
      <c r="AN119" s="326"/>
    </row>
    <row r="120" spans="1:40" x14ac:dyDescent="0.15">
      <c r="A120" s="319"/>
      <c r="B120" s="320"/>
      <c r="C120" s="320"/>
      <c r="D120" s="320"/>
      <c r="E120" s="320"/>
      <c r="F120" s="320"/>
      <c r="G120" s="320"/>
      <c r="H120" s="320"/>
      <c r="I120" s="320"/>
      <c r="J120" s="320"/>
      <c r="K120" s="320"/>
      <c r="L120" s="320"/>
      <c r="M120" s="320"/>
      <c r="N120" s="320"/>
      <c r="O120" s="321"/>
      <c r="P120" s="321"/>
      <c r="Y120" s="326"/>
      <c r="Z120" s="326"/>
      <c r="AB120" s="326"/>
      <c r="AC120" s="326"/>
      <c r="AD120" s="326"/>
      <c r="AG120" s="326"/>
      <c r="AH120" s="326"/>
      <c r="AI120" s="326"/>
      <c r="AL120" s="326"/>
      <c r="AM120" s="326"/>
      <c r="AN120" s="326"/>
    </row>
    <row r="121" spans="1:40" x14ac:dyDescent="0.15">
      <c r="A121" s="319"/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P121" s="321"/>
      <c r="Y121" s="326"/>
      <c r="Z121" s="326"/>
      <c r="AB121" s="326"/>
      <c r="AC121" s="326"/>
      <c r="AD121" s="326"/>
      <c r="AG121" s="326"/>
      <c r="AH121" s="326"/>
      <c r="AI121" s="326"/>
      <c r="AL121" s="326"/>
      <c r="AM121" s="326"/>
      <c r="AN121" s="326"/>
    </row>
    <row r="122" spans="1:40" x14ac:dyDescent="0.15">
      <c r="A122" s="319"/>
      <c r="B122" s="320"/>
      <c r="C122" s="320"/>
      <c r="D122" s="320"/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1"/>
      <c r="P122" s="321"/>
      <c r="Y122" s="326"/>
      <c r="Z122" s="326"/>
      <c r="AB122" s="326"/>
      <c r="AC122" s="326"/>
      <c r="AD122" s="326"/>
      <c r="AG122" s="326"/>
      <c r="AH122" s="326"/>
      <c r="AI122" s="326"/>
      <c r="AL122" s="326"/>
      <c r="AM122" s="326"/>
      <c r="AN122" s="326"/>
    </row>
    <row r="123" spans="1:40" x14ac:dyDescent="0.15">
      <c r="A123" s="319"/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1"/>
      <c r="P123" s="321"/>
      <c r="Y123" s="326"/>
      <c r="Z123" s="326"/>
      <c r="AB123" s="326"/>
      <c r="AC123" s="326"/>
      <c r="AD123" s="326"/>
      <c r="AG123" s="326"/>
      <c r="AH123" s="326"/>
      <c r="AI123" s="326"/>
      <c r="AL123" s="326"/>
      <c r="AM123" s="326"/>
      <c r="AN123" s="326"/>
    </row>
    <row r="124" spans="1:40" x14ac:dyDescent="0.15">
      <c r="A124" s="319"/>
      <c r="B124" s="320"/>
      <c r="C124" s="320"/>
      <c r="D124" s="320"/>
      <c r="E124" s="320"/>
      <c r="F124" s="320"/>
      <c r="G124" s="320"/>
      <c r="H124" s="320"/>
      <c r="I124" s="320"/>
      <c r="J124" s="320"/>
      <c r="K124" s="320"/>
      <c r="L124" s="320"/>
      <c r="M124" s="320"/>
      <c r="N124" s="320"/>
      <c r="O124" s="321"/>
      <c r="P124" s="321"/>
      <c r="Y124" s="326"/>
      <c r="Z124" s="326"/>
      <c r="AA124" s="326"/>
      <c r="AB124" s="326"/>
      <c r="AC124" s="326"/>
      <c r="AD124" s="326"/>
      <c r="AG124" s="326"/>
      <c r="AH124" s="326"/>
      <c r="AI124" s="326"/>
      <c r="AL124" s="326"/>
      <c r="AM124" s="326"/>
      <c r="AN124" s="326"/>
    </row>
    <row r="125" spans="1:40" x14ac:dyDescent="0.15">
      <c r="A125" s="319"/>
      <c r="B125" s="320"/>
      <c r="C125" s="320"/>
      <c r="D125" s="320"/>
      <c r="E125" s="320"/>
      <c r="F125" s="320"/>
      <c r="G125" s="320"/>
      <c r="H125" s="320"/>
      <c r="I125" s="320"/>
      <c r="J125" s="320"/>
      <c r="K125" s="320"/>
      <c r="L125" s="320"/>
      <c r="M125" s="320"/>
      <c r="N125" s="320"/>
      <c r="O125" s="321"/>
      <c r="P125" s="321"/>
      <c r="Y125" s="326"/>
      <c r="Z125" s="326"/>
      <c r="AB125" s="326"/>
      <c r="AC125" s="326"/>
      <c r="AD125" s="326"/>
      <c r="AG125" s="326"/>
      <c r="AH125" s="326"/>
      <c r="AI125" s="326"/>
      <c r="AL125" s="326"/>
      <c r="AM125" s="326"/>
      <c r="AN125" s="326"/>
    </row>
    <row r="126" spans="1:40" x14ac:dyDescent="0.15">
      <c r="A126" s="319"/>
      <c r="B126" s="320"/>
      <c r="C126" s="320"/>
      <c r="D126" s="320"/>
      <c r="E126" s="320"/>
      <c r="F126" s="320"/>
      <c r="G126" s="320"/>
      <c r="H126" s="320"/>
      <c r="I126" s="320"/>
      <c r="J126" s="320"/>
      <c r="K126" s="320"/>
      <c r="L126" s="320"/>
      <c r="M126" s="320"/>
      <c r="N126" s="320"/>
      <c r="O126" s="321"/>
      <c r="P126" s="321"/>
      <c r="Y126" s="326"/>
      <c r="Z126" s="326"/>
      <c r="AB126" s="326"/>
      <c r="AC126" s="326"/>
      <c r="AD126" s="326"/>
      <c r="AG126" s="326"/>
      <c r="AH126" s="326"/>
      <c r="AI126" s="326"/>
      <c r="AL126" s="326"/>
      <c r="AM126" s="326"/>
      <c r="AN126" s="326"/>
    </row>
    <row r="127" spans="1:40" x14ac:dyDescent="0.15">
      <c r="A127" s="319"/>
      <c r="B127" s="320"/>
      <c r="C127" s="320"/>
      <c r="D127" s="320"/>
      <c r="E127" s="320"/>
      <c r="F127" s="320"/>
      <c r="G127" s="320"/>
      <c r="H127" s="320"/>
      <c r="I127" s="320"/>
      <c r="J127" s="320"/>
      <c r="K127" s="320"/>
      <c r="L127" s="320"/>
      <c r="M127" s="320"/>
      <c r="N127" s="320"/>
      <c r="O127" s="321"/>
      <c r="P127" s="321"/>
      <c r="Y127" s="326"/>
      <c r="Z127" s="326"/>
      <c r="AB127" s="326"/>
      <c r="AC127" s="326"/>
      <c r="AD127" s="326"/>
      <c r="AG127" s="326"/>
      <c r="AH127" s="326"/>
      <c r="AI127" s="326"/>
      <c r="AL127" s="326"/>
      <c r="AM127" s="326"/>
      <c r="AN127" s="326"/>
    </row>
    <row r="128" spans="1:40" x14ac:dyDescent="0.15">
      <c r="A128" s="319"/>
      <c r="B128" s="320"/>
      <c r="C128" s="320"/>
      <c r="D128" s="320"/>
      <c r="E128" s="320"/>
      <c r="F128" s="320"/>
      <c r="G128" s="320"/>
      <c r="H128" s="320"/>
      <c r="I128" s="320"/>
      <c r="J128" s="320"/>
      <c r="K128" s="320"/>
      <c r="L128" s="320"/>
      <c r="M128" s="320"/>
      <c r="N128" s="320"/>
      <c r="O128" s="321"/>
      <c r="P128" s="321"/>
      <c r="Y128" s="326"/>
      <c r="Z128" s="326"/>
      <c r="AB128" s="326"/>
      <c r="AC128" s="326"/>
      <c r="AD128" s="326"/>
      <c r="AG128" s="326"/>
      <c r="AH128" s="326"/>
      <c r="AI128" s="326"/>
      <c r="AL128" s="326"/>
      <c r="AM128" s="326"/>
      <c r="AN128" s="326"/>
    </row>
    <row r="129" spans="1:40" x14ac:dyDescent="0.15">
      <c r="A129" s="319"/>
      <c r="B129" s="320"/>
      <c r="C129" s="320"/>
      <c r="D129" s="320"/>
      <c r="E129" s="320"/>
      <c r="F129" s="320"/>
      <c r="G129" s="320"/>
      <c r="H129" s="320"/>
      <c r="I129" s="320"/>
      <c r="J129" s="320"/>
      <c r="K129" s="320"/>
      <c r="L129" s="320"/>
      <c r="M129" s="320"/>
      <c r="N129" s="320"/>
      <c r="O129" s="321"/>
      <c r="P129" s="321"/>
      <c r="Y129" s="326"/>
      <c r="Z129" s="326"/>
      <c r="AB129" s="326"/>
      <c r="AC129" s="326"/>
      <c r="AD129" s="326"/>
      <c r="AG129" s="326"/>
      <c r="AH129" s="326"/>
      <c r="AI129" s="326"/>
      <c r="AL129" s="326"/>
      <c r="AM129" s="326"/>
      <c r="AN129" s="326"/>
    </row>
    <row r="130" spans="1:40" x14ac:dyDescent="0.15">
      <c r="A130" s="319"/>
      <c r="B130" s="320"/>
      <c r="C130" s="320"/>
      <c r="D130" s="320"/>
      <c r="E130" s="320"/>
      <c r="F130" s="320"/>
      <c r="G130" s="320"/>
      <c r="H130" s="320"/>
      <c r="I130" s="320"/>
      <c r="J130" s="320"/>
      <c r="K130" s="320"/>
      <c r="L130" s="320"/>
      <c r="M130" s="320"/>
      <c r="N130" s="320"/>
      <c r="O130" s="321"/>
      <c r="P130" s="321"/>
      <c r="Y130" s="326"/>
      <c r="Z130" s="326"/>
      <c r="AB130" s="326"/>
      <c r="AC130" s="326"/>
      <c r="AD130" s="326"/>
      <c r="AG130" s="326"/>
      <c r="AH130" s="326"/>
      <c r="AI130" s="326"/>
      <c r="AL130" s="326"/>
      <c r="AM130" s="326"/>
      <c r="AN130" s="326"/>
    </row>
    <row r="131" spans="1:40" x14ac:dyDescent="0.15">
      <c r="A131" s="319"/>
      <c r="B131" s="320"/>
      <c r="C131" s="320"/>
      <c r="D131" s="320"/>
      <c r="E131" s="320"/>
      <c r="F131" s="320"/>
      <c r="G131" s="320"/>
      <c r="H131" s="320"/>
      <c r="I131" s="320"/>
      <c r="J131" s="320"/>
      <c r="K131" s="320"/>
      <c r="L131" s="320"/>
      <c r="M131" s="320"/>
      <c r="N131" s="320"/>
      <c r="O131" s="321"/>
      <c r="P131" s="321"/>
      <c r="Y131" s="326"/>
      <c r="Z131" s="326"/>
      <c r="AB131" s="326"/>
      <c r="AC131" s="326"/>
      <c r="AD131" s="326"/>
      <c r="AG131" s="326"/>
      <c r="AH131" s="326"/>
      <c r="AI131" s="326"/>
      <c r="AL131" s="326"/>
      <c r="AM131" s="326"/>
      <c r="AN131" s="326"/>
    </row>
    <row r="132" spans="1:40" x14ac:dyDescent="0.15">
      <c r="A132" s="319"/>
      <c r="B132" s="320"/>
      <c r="C132" s="320"/>
      <c r="D132" s="320"/>
      <c r="E132" s="320"/>
      <c r="F132" s="320"/>
      <c r="G132" s="320"/>
      <c r="H132" s="320"/>
      <c r="I132" s="320"/>
      <c r="J132" s="320"/>
      <c r="K132" s="320"/>
      <c r="L132" s="320"/>
      <c r="M132" s="320"/>
      <c r="N132" s="320"/>
      <c r="O132" s="321"/>
      <c r="P132" s="321"/>
      <c r="Y132" s="326"/>
      <c r="Z132" s="326"/>
      <c r="AB132" s="326"/>
      <c r="AC132" s="326"/>
      <c r="AD132" s="326"/>
      <c r="AG132" s="326"/>
      <c r="AH132" s="326"/>
      <c r="AI132" s="326"/>
      <c r="AL132" s="326"/>
      <c r="AM132" s="326"/>
      <c r="AN132" s="326"/>
    </row>
    <row r="133" spans="1:40" x14ac:dyDescent="0.15">
      <c r="A133" s="319"/>
      <c r="B133" s="320"/>
      <c r="C133" s="320"/>
      <c r="D133" s="320"/>
      <c r="E133" s="320"/>
      <c r="F133" s="320"/>
      <c r="G133" s="320"/>
      <c r="H133" s="320"/>
      <c r="I133" s="320"/>
      <c r="J133" s="320"/>
      <c r="K133" s="320"/>
      <c r="L133" s="320"/>
      <c r="M133" s="320"/>
      <c r="N133" s="320"/>
      <c r="O133" s="321"/>
      <c r="P133" s="321"/>
      <c r="Y133" s="326"/>
      <c r="Z133" s="326"/>
      <c r="AB133" s="326"/>
      <c r="AC133" s="326"/>
      <c r="AD133" s="326"/>
      <c r="AG133" s="326"/>
      <c r="AH133" s="326"/>
      <c r="AI133" s="326"/>
      <c r="AL133" s="326"/>
      <c r="AM133" s="326"/>
      <c r="AN133" s="326"/>
    </row>
    <row r="134" spans="1:40" x14ac:dyDescent="0.15">
      <c r="A134" s="319"/>
      <c r="B134" s="320"/>
      <c r="C134" s="320"/>
      <c r="D134" s="320"/>
      <c r="E134" s="320"/>
      <c r="F134" s="320"/>
      <c r="G134" s="320"/>
      <c r="H134" s="320"/>
      <c r="I134" s="320"/>
      <c r="J134" s="320"/>
      <c r="K134" s="320"/>
      <c r="L134" s="320"/>
      <c r="M134" s="320"/>
      <c r="N134" s="320"/>
      <c r="O134" s="321"/>
      <c r="P134" s="321"/>
      <c r="Y134" s="326"/>
      <c r="Z134" s="326"/>
      <c r="AB134" s="326"/>
      <c r="AC134" s="326"/>
      <c r="AD134" s="326"/>
      <c r="AG134" s="326"/>
      <c r="AH134" s="326"/>
      <c r="AI134" s="326"/>
      <c r="AL134" s="326"/>
      <c r="AM134" s="326"/>
      <c r="AN134" s="326"/>
    </row>
    <row r="135" spans="1:40" x14ac:dyDescent="0.15">
      <c r="A135" s="319"/>
      <c r="B135" s="320"/>
      <c r="C135" s="320"/>
      <c r="D135" s="320"/>
      <c r="E135" s="320"/>
      <c r="F135" s="320"/>
      <c r="G135" s="320"/>
      <c r="H135" s="320"/>
      <c r="I135" s="320"/>
      <c r="J135" s="320"/>
      <c r="K135" s="320"/>
      <c r="L135" s="320"/>
      <c r="M135" s="320"/>
      <c r="N135" s="320"/>
      <c r="O135" s="321"/>
      <c r="P135" s="321"/>
      <c r="Y135" s="326"/>
      <c r="Z135" s="326"/>
      <c r="AB135" s="326"/>
      <c r="AC135" s="326"/>
      <c r="AD135" s="326"/>
      <c r="AG135" s="326"/>
      <c r="AH135" s="326"/>
      <c r="AI135" s="326"/>
      <c r="AL135" s="326"/>
      <c r="AM135" s="326"/>
      <c r="AN135" s="326"/>
    </row>
    <row r="136" spans="1:40" x14ac:dyDescent="0.15">
      <c r="A136" s="319"/>
      <c r="B136" s="320"/>
      <c r="C136" s="320"/>
      <c r="D136" s="320"/>
      <c r="E136" s="320"/>
      <c r="F136" s="320"/>
      <c r="G136" s="320"/>
      <c r="H136" s="320"/>
      <c r="I136" s="320"/>
      <c r="J136" s="320"/>
      <c r="K136" s="320"/>
      <c r="L136" s="320"/>
      <c r="M136" s="320"/>
      <c r="N136" s="320"/>
      <c r="O136" s="321"/>
      <c r="P136" s="321"/>
      <c r="Y136" s="326"/>
      <c r="Z136" s="326"/>
      <c r="AB136" s="326"/>
      <c r="AC136" s="326"/>
      <c r="AD136" s="326"/>
      <c r="AG136" s="326"/>
      <c r="AH136" s="326"/>
      <c r="AI136" s="326"/>
      <c r="AL136" s="326"/>
      <c r="AM136" s="326"/>
      <c r="AN136" s="326"/>
    </row>
    <row r="137" spans="1:40" x14ac:dyDescent="0.15">
      <c r="A137" s="319"/>
      <c r="B137" s="320"/>
      <c r="C137" s="320"/>
      <c r="D137" s="320"/>
      <c r="E137" s="320"/>
      <c r="F137" s="320"/>
      <c r="G137" s="320"/>
      <c r="H137" s="320"/>
      <c r="I137" s="320"/>
      <c r="J137" s="320"/>
      <c r="K137" s="320"/>
      <c r="L137" s="320"/>
      <c r="M137" s="320"/>
      <c r="N137" s="320"/>
      <c r="O137" s="321"/>
      <c r="P137" s="321"/>
      <c r="Y137" s="326"/>
      <c r="Z137" s="326"/>
      <c r="AB137" s="326"/>
      <c r="AC137" s="326"/>
      <c r="AD137" s="326"/>
      <c r="AG137" s="326"/>
      <c r="AH137" s="326"/>
      <c r="AI137" s="326"/>
      <c r="AL137" s="326"/>
      <c r="AM137" s="326"/>
      <c r="AN137" s="326"/>
    </row>
    <row r="138" spans="1:40" x14ac:dyDescent="0.15">
      <c r="A138" s="319"/>
      <c r="B138" s="320"/>
      <c r="C138" s="320"/>
      <c r="D138" s="320"/>
      <c r="E138" s="320"/>
      <c r="F138" s="320"/>
      <c r="G138" s="320"/>
      <c r="H138" s="320"/>
      <c r="I138" s="320"/>
      <c r="J138" s="320"/>
      <c r="K138" s="320"/>
      <c r="L138" s="320"/>
      <c r="M138" s="320"/>
      <c r="N138" s="320"/>
      <c r="O138" s="321"/>
      <c r="P138" s="321"/>
      <c r="Y138" s="326"/>
      <c r="Z138" s="326"/>
      <c r="AB138" s="326"/>
      <c r="AC138" s="326"/>
      <c r="AD138" s="326"/>
      <c r="AG138" s="326"/>
      <c r="AH138" s="326"/>
      <c r="AI138" s="326"/>
      <c r="AL138" s="326"/>
      <c r="AM138" s="326"/>
      <c r="AN138" s="326"/>
    </row>
    <row r="139" spans="1:40" x14ac:dyDescent="0.15">
      <c r="A139" s="319"/>
      <c r="B139" s="320"/>
      <c r="C139" s="320"/>
      <c r="D139" s="320"/>
      <c r="E139" s="320"/>
      <c r="F139" s="320"/>
      <c r="G139" s="320"/>
      <c r="H139" s="320"/>
      <c r="I139" s="320"/>
      <c r="J139" s="320"/>
      <c r="K139" s="320"/>
      <c r="L139" s="320"/>
      <c r="M139" s="320"/>
      <c r="N139" s="320"/>
      <c r="O139" s="321"/>
      <c r="P139" s="321"/>
      <c r="Y139" s="326"/>
      <c r="Z139" s="326"/>
      <c r="AB139" s="326"/>
      <c r="AC139" s="326"/>
      <c r="AD139" s="326"/>
      <c r="AG139" s="326"/>
      <c r="AH139" s="326"/>
      <c r="AI139" s="326"/>
      <c r="AL139" s="326"/>
      <c r="AM139" s="326"/>
      <c r="AN139" s="326"/>
    </row>
    <row r="140" spans="1:40" x14ac:dyDescent="0.15">
      <c r="A140" s="319"/>
      <c r="B140" s="320"/>
      <c r="C140" s="320"/>
      <c r="D140" s="320"/>
      <c r="E140" s="320"/>
      <c r="F140" s="320"/>
      <c r="G140" s="320"/>
      <c r="H140" s="320"/>
      <c r="I140" s="320"/>
      <c r="J140" s="320"/>
      <c r="K140" s="320"/>
      <c r="L140" s="320"/>
      <c r="M140" s="320"/>
      <c r="N140" s="320"/>
      <c r="O140" s="321"/>
      <c r="P140" s="321"/>
      <c r="Y140" s="326"/>
      <c r="Z140" s="326"/>
      <c r="AB140" s="326"/>
      <c r="AC140" s="326"/>
      <c r="AD140" s="326"/>
      <c r="AG140" s="326"/>
      <c r="AH140" s="326"/>
      <c r="AI140" s="326"/>
      <c r="AL140" s="326"/>
      <c r="AM140" s="326"/>
      <c r="AN140" s="326"/>
    </row>
    <row r="141" spans="1:40" x14ac:dyDescent="0.15">
      <c r="A141" s="319"/>
      <c r="B141" s="320"/>
      <c r="C141" s="320"/>
      <c r="D141" s="320"/>
      <c r="E141" s="320"/>
      <c r="F141" s="320"/>
      <c r="G141" s="320"/>
      <c r="H141" s="320"/>
      <c r="I141" s="320"/>
      <c r="J141" s="320"/>
      <c r="K141" s="320"/>
      <c r="L141" s="320"/>
      <c r="M141" s="320"/>
      <c r="N141" s="320"/>
      <c r="O141" s="321"/>
      <c r="P141" s="321"/>
      <c r="Y141" s="326"/>
      <c r="Z141" s="326"/>
      <c r="AB141" s="326"/>
      <c r="AC141" s="326"/>
      <c r="AD141" s="326"/>
      <c r="AG141" s="326"/>
      <c r="AH141" s="326"/>
      <c r="AI141" s="326"/>
      <c r="AL141" s="326"/>
      <c r="AM141" s="326"/>
      <c r="AN141" s="326"/>
    </row>
    <row r="142" spans="1:40" x14ac:dyDescent="0.15">
      <c r="A142" s="319"/>
      <c r="B142" s="320"/>
      <c r="C142" s="320"/>
      <c r="D142" s="320"/>
      <c r="E142" s="320"/>
      <c r="F142" s="320"/>
      <c r="G142" s="320"/>
      <c r="H142" s="320"/>
      <c r="I142" s="320"/>
      <c r="J142" s="320"/>
      <c r="K142" s="320"/>
      <c r="L142" s="320"/>
      <c r="M142" s="320"/>
      <c r="N142" s="320"/>
      <c r="O142" s="321"/>
      <c r="P142" s="321"/>
      <c r="Y142" s="326"/>
      <c r="Z142" s="326"/>
      <c r="AB142" s="326"/>
      <c r="AC142" s="326"/>
      <c r="AD142" s="326"/>
      <c r="AG142" s="326"/>
      <c r="AH142" s="326"/>
      <c r="AI142" s="326"/>
      <c r="AL142" s="326"/>
      <c r="AM142" s="326"/>
      <c r="AN142" s="326"/>
    </row>
    <row r="143" spans="1:40" x14ac:dyDescent="0.15">
      <c r="A143" s="319"/>
      <c r="B143" s="320"/>
      <c r="C143" s="320"/>
      <c r="D143" s="320"/>
      <c r="E143" s="320"/>
      <c r="F143" s="320"/>
      <c r="G143" s="320"/>
      <c r="H143" s="320"/>
      <c r="I143" s="320"/>
      <c r="J143" s="320"/>
      <c r="K143" s="320"/>
      <c r="L143" s="320"/>
      <c r="M143" s="320"/>
      <c r="N143" s="320"/>
      <c r="O143" s="321"/>
      <c r="P143" s="321"/>
      <c r="Y143" s="326"/>
      <c r="Z143" s="326"/>
      <c r="AB143" s="326"/>
      <c r="AC143" s="326"/>
      <c r="AD143" s="326"/>
      <c r="AG143" s="326"/>
      <c r="AH143" s="326"/>
      <c r="AI143" s="326"/>
      <c r="AL143" s="326"/>
      <c r="AM143" s="326"/>
      <c r="AN143" s="326"/>
    </row>
    <row r="144" spans="1:40" x14ac:dyDescent="0.15">
      <c r="A144" s="319"/>
      <c r="B144" s="320"/>
      <c r="C144" s="320"/>
      <c r="D144" s="320"/>
      <c r="E144" s="320"/>
      <c r="F144" s="320"/>
      <c r="G144" s="320"/>
      <c r="H144" s="320"/>
      <c r="I144" s="320"/>
      <c r="J144" s="320"/>
      <c r="K144" s="320"/>
      <c r="L144" s="320"/>
      <c r="M144" s="320"/>
      <c r="N144" s="320"/>
      <c r="O144" s="321"/>
      <c r="P144" s="321"/>
      <c r="Y144" s="326"/>
      <c r="Z144" s="326"/>
      <c r="AB144" s="326"/>
      <c r="AC144" s="326"/>
      <c r="AD144" s="326"/>
      <c r="AG144" s="326"/>
      <c r="AH144" s="326"/>
      <c r="AI144" s="326"/>
      <c r="AL144" s="326"/>
      <c r="AM144" s="326"/>
      <c r="AN144" s="326"/>
    </row>
    <row r="145" spans="1:40" x14ac:dyDescent="0.15">
      <c r="A145" s="319"/>
      <c r="B145" s="320"/>
      <c r="C145" s="320"/>
      <c r="D145" s="320"/>
      <c r="E145" s="320"/>
      <c r="F145" s="320"/>
      <c r="G145" s="320"/>
      <c r="H145" s="320"/>
      <c r="I145" s="320"/>
      <c r="J145" s="320"/>
      <c r="K145" s="320"/>
      <c r="L145" s="320"/>
      <c r="M145" s="320"/>
      <c r="N145" s="320"/>
      <c r="O145" s="321"/>
      <c r="P145" s="321"/>
      <c r="Y145" s="326"/>
      <c r="Z145" s="326"/>
      <c r="AB145" s="326"/>
      <c r="AC145" s="326"/>
      <c r="AD145" s="326"/>
      <c r="AG145" s="326"/>
      <c r="AH145" s="326"/>
      <c r="AI145" s="326"/>
      <c r="AL145" s="326"/>
      <c r="AM145" s="326"/>
      <c r="AN145" s="326"/>
    </row>
    <row r="146" spans="1:40" x14ac:dyDescent="0.15">
      <c r="A146" s="319"/>
      <c r="B146" s="320"/>
      <c r="C146" s="320"/>
      <c r="D146" s="320"/>
      <c r="E146" s="320"/>
      <c r="F146" s="320"/>
      <c r="G146" s="320"/>
      <c r="H146" s="320"/>
      <c r="I146" s="320"/>
      <c r="J146" s="320"/>
      <c r="K146" s="320"/>
      <c r="L146" s="320"/>
      <c r="M146" s="320"/>
      <c r="N146" s="320"/>
      <c r="O146" s="321"/>
      <c r="P146" s="321"/>
      <c r="Y146" s="326"/>
      <c r="Z146" s="326"/>
      <c r="AB146" s="326"/>
      <c r="AC146" s="326"/>
      <c r="AD146" s="326"/>
      <c r="AG146" s="326"/>
      <c r="AH146" s="326"/>
      <c r="AI146" s="326"/>
      <c r="AL146" s="326"/>
      <c r="AM146" s="326"/>
      <c r="AN146" s="326"/>
    </row>
    <row r="147" spans="1:40" x14ac:dyDescent="0.15">
      <c r="A147" s="319"/>
      <c r="B147" s="320"/>
      <c r="C147" s="320"/>
      <c r="D147" s="320"/>
      <c r="E147" s="320"/>
      <c r="F147" s="320"/>
      <c r="G147" s="320"/>
      <c r="H147" s="320"/>
      <c r="I147" s="320"/>
      <c r="J147" s="320"/>
      <c r="K147" s="320"/>
      <c r="L147" s="320"/>
      <c r="M147" s="320"/>
      <c r="N147" s="320"/>
      <c r="O147" s="321"/>
      <c r="P147" s="321"/>
      <c r="Y147" s="326"/>
      <c r="Z147" s="326"/>
      <c r="AB147" s="326"/>
      <c r="AC147" s="326"/>
      <c r="AD147" s="326"/>
      <c r="AG147" s="326"/>
      <c r="AH147" s="326"/>
      <c r="AI147" s="326"/>
      <c r="AL147" s="326"/>
      <c r="AM147" s="326"/>
      <c r="AN147" s="326"/>
    </row>
    <row r="148" spans="1:40" x14ac:dyDescent="0.15">
      <c r="A148" s="319"/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P148" s="321"/>
      <c r="Y148" s="326"/>
      <c r="Z148" s="326"/>
      <c r="AB148" s="326"/>
      <c r="AC148" s="326"/>
      <c r="AD148" s="326"/>
      <c r="AG148" s="326"/>
      <c r="AH148" s="326"/>
      <c r="AI148" s="326"/>
      <c r="AL148" s="326"/>
      <c r="AM148" s="326"/>
      <c r="AN148" s="326"/>
    </row>
    <row r="149" spans="1:40" x14ac:dyDescent="0.15">
      <c r="A149" s="319"/>
      <c r="B149" s="320"/>
      <c r="C149" s="320"/>
      <c r="D149" s="320"/>
      <c r="E149" s="320"/>
      <c r="F149" s="320"/>
      <c r="G149" s="320"/>
      <c r="H149" s="320"/>
      <c r="I149" s="320"/>
      <c r="J149" s="320"/>
      <c r="K149" s="320"/>
      <c r="L149" s="320"/>
      <c r="M149" s="320"/>
      <c r="N149" s="320"/>
      <c r="O149" s="321"/>
      <c r="P149" s="321"/>
      <c r="Y149" s="326"/>
      <c r="Z149" s="326"/>
      <c r="AB149" s="326"/>
      <c r="AC149" s="326"/>
      <c r="AD149" s="326"/>
      <c r="AG149" s="326"/>
      <c r="AH149" s="326"/>
      <c r="AI149" s="326"/>
      <c r="AL149" s="326"/>
      <c r="AM149" s="326"/>
      <c r="AN149" s="326"/>
    </row>
    <row r="150" spans="1:40" x14ac:dyDescent="0.15">
      <c r="A150" s="319"/>
      <c r="B150" s="320"/>
      <c r="C150" s="320"/>
      <c r="D150" s="320"/>
      <c r="E150" s="320"/>
      <c r="F150" s="320"/>
      <c r="G150" s="320"/>
      <c r="H150" s="320"/>
      <c r="I150" s="320"/>
      <c r="J150" s="320"/>
      <c r="K150" s="320"/>
      <c r="L150" s="320"/>
      <c r="M150" s="320"/>
      <c r="N150" s="320"/>
      <c r="O150" s="321"/>
      <c r="P150" s="321"/>
      <c r="Y150" s="326"/>
      <c r="Z150" s="326"/>
      <c r="AB150" s="326"/>
      <c r="AC150" s="326"/>
      <c r="AD150" s="326"/>
      <c r="AG150" s="326"/>
      <c r="AH150" s="326"/>
      <c r="AI150" s="326"/>
      <c r="AL150" s="326"/>
      <c r="AM150" s="326"/>
      <c r="AN150" s="326"/>
    </row>
    <row r="151" spans="1:40" x14ac:dyDescent="0.15">
      <c r="A151" s="319"/>
      <c r="B151" s="320"/>
      <c r="C151" s="320"/>
      <c r="D151" s="320"/>
      <c r="E151" s="320"/>
      <c r="F151" s="320"/>
      <c r="G151" s="320"/>
      <c r="H151" s="320"/>
      <c r="I151" s="320"/>
      <c r="J151" s="320"/>
      <c r="K151" s="320"/>
      <c r="L151" s="320"/>
      <c r="M151" s="320"/>
      <c r="N151" s="320"/>
      <c r="O151" s="321"/>
      <c r="P151" s="321"/>
      <c r="Y151" s="326"/>
      <c r="Z151" s="326"/>
      <c r="AB151" s="326"/>
      <c r="AC151" s="326"/>
      <c r="AD151" s="326"/>
      <c r="AG151" s="326"/>
      <c r="AH151" s="326"/>
      <c r="AI151" s="326"/>
      <c r="AL151" s="326"/>
      <c r="AM151" s="326"/>
      <c r="AN151" s="326"/>
    </row>
    <row r="152" spans="1:40" x14ac:dyDescent="0.15">
      <c r="A152" s="319"/>
      <c r="B152" s="320"/>
      <c r="C152" s="320"/>
      <c r="D152" s="320"/>
      <c r="E152" s="320"/>
      <c r="F152" s="320"/>
      <c r="G152" s="320"/>
      <c r="H152" s="320"/>
      <c r="I152" s="320"/>
      <c r="J152" s="320"/>
      <c r="K152" s="320"/>
      <c r="L152" s="320"/>
      <c r="M152" s="320"/>
      <c r="N152" s="320"/>
      <c r="O152" s="321"/>
      <c r="P152" s="321"/>
      <c r="Y152" s="326"/>
      <c r="Z152" s="326"/>
      <c r="AB152" s="326"/>
      <c r="AC152" s="326"/>
      <c r="AD152" s="326"/>
      <c r="AG152" s="326"/>
      <c r="AH152" s="326"/>
      <c r="AI152" s="326"/>
      <c r="AL152" s="326"/>
      <c r="AM152" s="326"/>
      <c r="AN152" s="326"/>
    </row>
    <row r="153" spans="1:40" x14ac:dyDescent="0.15">
      <c r="A153" s="319"/>
      <c r="B153" s="320"/>
      <c r="C153" s="320"/>
      <c r="D153" s="320"/>
      <c r="E153" s="320"/>
      <c r="F153" s="320"/>
      <c r="G153" s="320"/>
      <c r="H153" s="320"/>
      <c r="I153" s="320"/>
      <c r="J153" s="320"/>
      <c r="K153" s="320"/>
      <c r="L153" s="320"/>
      <c r="M153" s="320"/>
      <c r="N153" s="320"/>
      <c r="O153" s="321"/>
      <c r="P153" s="321"/>
      <c r="Y153" s="326"/>
      <c r="Z153" s="326"/>
      <c r="AB153" s="326"/>
      <c r="AC153" s="326"/>
      <c r="AD153" s="326"/>
      <c r="AG153" s="326"/>
      <c r="AH153" s="326"/>
      <c r="AI153" s="326"/>
      <c r="AL153" s="326"/>
      <c r="AM153" s="326"/>
      <c r="AN153" s="326"/>
    </row>
    <row r="154" spans="1:40" x14ac:dyDescent="0.15">
      <c r="A154" s="319"/>
      <c r="B154" s="320"/>
      <c r="C154" s="320"/>
      <c r="D154" s="320"/>
      <c r="E154" s="320"/>
      <c r="F154" s="320"/>
      <c r="G154" s="320"/>
      <c r="H154" s="320"/>
      <c r="I154" s="320"/>
      <c r="J154" s="320"/>
      <c r="K154" s="320"/>
      <c r="L154" s="320"/>
      <c r="M154" s="320"/>
      <c r="N154" s="320"/>
      <c r="O154" s="321"/>
      <c r="P154" s="321"/>
      <c r="Y154" s="326"/>
      <c r="Z154" s="326"/>
      <c r="AB154" s="326"/>
      <c r="AC154" s="326"/>
      <c r="AD154" s="326"/>
      <c r="AG154" s="326"/>
      <c r="AH154" s="326"/>
      <c r="AI154" s="326"/>
      <c r="AL154" s="326"/>
      <c r="AM154" s="326"/>
      <c r="AN154" s="326"/>
    </row>
    <row r="155" spans="1:40" x14ac:dyDescent="0.15">
      <c r="A155" s="319"/>
      <c r="B155" s="320"/>
      <c r="C155" s="320"/>
      <c r="D155" s="320"/>
      <c r="E155" s="320"/>
      <c r="F155" s="320"/>
      <c r="G155" s="320"/>
      <c r="H155" s="320"/>
      <c r="I155" s="320"/>
      <c r="J155" s="320"/>
      <c r="K155" s="320"/>
      <c r="L155" s="320"/>
      <c r="M155" s="320"/>
      <c r="N155" s="320"/>
      <c r="O155" s="321"/>
      <c r="P155" s="321"/>
      <c r="Y155" s="326"/>
      <c r="Z155" s="326"/>
      <c r="AB155" s="326"/>
      <c r="AC155" s="326"/>
      <c r="AD155" s="326"/>
      <c r="AG155" s="326"/>
      <c r="AH155" s="326"/>
      <c r="AI155" s="326"/>
      <c r="AL155" s="326"/>
      <c r="AM155" s="326"/>
      <c r="AN155" s="326"/>
    </row>
    <row r="156" spans="1:40" x14ac:dyDescent="0.15">
      <c r="A156" s="319"/>
      <c r="B156" s="320"/>
      <c r="C156" s="320"/>
      <c r="D156" s="320"/>
      <c r="E156" s="320"/>
      <c r="F156" s="320"/>
      <c r="G156" s="320"/>
      <c r="H156" s="320"/>
      <c r="I156" s="320"/>
      <c r="J156" s="320"/>
      <c r="K156" s="320"/>
      <c r="L156" s="320"/>
      <c r="M156" s="320"/>
      <c r="N156" s="320"/>
      <c r="O156" s="321"/>
      <c r="P156" s="321"/>
      <c r="Y156" s="326"/>
      <c r="Z156" s="326"/>
      <c r="AB156" s="326"/>
      <c r="AC156" s="326"/>
      <c r="AD156" s="326"/>
      <c r="AG156" s="326"/>
      <c r="AH156" s="326"/>
      <c r="AI156" s="326"/>
      <c r="AL156" s="326"/>
      <c r="AM156" s="326"/>
      <c r="AN156" s="326"/>
    </row>
    <row r="157" spans="1:40" x14ac:dyDescent="0.15">
      <c r="A157" s="319"/>
      <c r="B157" s="320"/>
      <c r="C157" s="320"/>
      <c r="D157" s="320"/>
      <c r="E157" s="320"/>
      <c r="F157" s="320"/>
      <c r="G157" s="320"/>
      <c r="H157" s="320"/>
      <c r="I157" s="320"/>
      <c r="J157" s="320"/>
      <c r="K157" s="320"/>
      <c r="L157" s="320"/>
      <c r="M157" s="320"/>
      <c r="N157" s="320"/>
      <c r="O157" s="321"/>
      <c r="P157" s="321"/>
      <c r="Y157" s="326"/>
      <c r="Z157" s="326"/>
      <c r="AB157" s="326"/>
      <c r="AC157" s="326"/>
      <c r="AD157" s="326"/>
      <c r="AG157" s="326"/>
      <c r="AH157" s="326"/>
      <c r="AI157" s="326"/>
      <c r="AL157" s="326"/>
      <c r="AM157" s="326"/>
      <c r="AN157" s="326"/>
    </row>
    <row r="158" spans="1:40" x14ac:dyDescent="0.15">
      <c r="A158" s="319"/>
      <c r="B158" s="320"/>
      <c r="C158" s="320"/>
      <c r="D158" s="320"/>
      <c r="E158" s="320"/>
      <c r="F158" s="320"/>
      <c r="G158" s="320"/>
      <c r="H158" s="320"/>
      <c r="I158" s="320"/>
      <c r="J158" s="320"/>
      <c r="K158" s="320"/>
      <c r="L158" s="320"/>
      <c r="M158" s="320"/>
      <c r="N158" s="320"/>
      <c r="O158" s="321"/>
      <c r="P158" s="321"/>
      <c r="Y158" s="326"/>
      <c r="Z158" s="326"/>
      <c r="AB158" s="326"/>
      <c r="AC158" s="326"/>
      <c r="AD158" s="326"/>
      <c r="AG158" s="326"/>
      <c r="AH158" s="326"/>
      <c r="AI158" s="326"/>
      <c r="AL158" s="326"/>
      <c r="AM158" s="326"/>
      <c r="AN158" s="326"/>
    </row>
    <row r="159" spans="1:40" x14ac:dyDescent="0.15">
      <c r="A159" s="319"/>
      <c r="B159" s="320"/>
      <c r="C159" s="320"/>
      <c r="D159" s="320"/>
      <c r="E159" s="320"/>
      <c r="F159" s="320"/>
      <c r="G159" s="320"/>
      <c r="H159" s="320"/>
      <c r="I159" s="320"/>
      <c r="J159" s="320"/>
      <c r="K159" s="320"/>
      <c r="L159" s="320"/>
      <c r="M159" s="320"/>
      <c r="N159" s="320"/>
      <c r="O159" s="321"/>
      <c r="P159" s="321"/>
      <c r="Y159" s="326"/>
      <c r="Z159" s="326"/>
      <c r="AB159" s="326"/>
      <c r="AC159" s="326"/>
      <c r="AD159" s="326"/>
      <c r="AG159" s="326"/>
      <c r="AH159" s="326"/>
      <c r="AI159" s="326"/>
      <c r="AL159" s="326"/>
      <c r="AM159" s="326"/>
      <c r="AN159" s="326"/>
    </row>
    <row r="160" spans="1:40" x14ac:dyDescent="0.15">
      <c r="A160" s="319"/>
      <c r="B160" s="320"/>
      <c r="C160" s="320"/>
      <c r="D160" s="320"/>
      <c r="E160" s="320"/>
      <c r="F160" s="320"/>
      <c r="G160" s="320"/>
      <c r="H160" s="320"/>
      <c r="I160" s="320"/>
      <c r="J160" s="320"/>
      <c r="K160" s="320"/>
      <c r="L160" s="320"/>
      <c r="M160" s="320"/>
      <c r="N160" s="320"/>
      <c r="O160" s="321"/>
      <c r="P160" s="321"/>
      <c r="Y160" s="326"/>
      <c r="Z160" s="326"/>
      <c r="AB160" s="326"/>
      <c r="AC160" s="326"/>
      <c r="AD160" s="326"/>
      <c r="AG160" s="326"/>
      <c r="AH160" s="326"/>
      <c r="AI160" s="326"/>
      <c r="AL160" s="326"/>
      <c r="AM160" s="326"/>
      <c r="AN160" s="326"/>
    </row>
    <row r="161" spans="1:40" x14ac:dyDescent="0.15">
      <c r="A161" s="319"/>
      <c r="B161" s="320"/>
      <c r="C161" s="320"/>
      <c r="D161" s="320"/>
      <c r="E161" s="320"/>
      <c r="F161" s="320"/>
      <c r="G161" s="320"/>
      <c r="H161" s="320"/>
      <c r="I161" s="320"/>
      <c r="J161" s="320"/>
      <c r="K161" s="320"/>
      <c r="L161" s="320"/>
      <c r="M161" s="320"/>
      <c r="N161" s="320"/>
      <c r="O161" s="321"/>
      <c r="P161" s="321"/>
      <c r="Y161" s="326"/>
      <c r="Z161" s="326"/>
      <c r="AB161" s="326"/>
      <c r="AC161" s="326"/>
      <c r="AD161" s="326"/>
      <c r="AG161" s="326"/>
      <c r="AH161" s="326"/>
      <c r="AI161" s="326"/>
      <c r="AL161" s="326"/>
      <c r="AM161" s="326"/>
      <c r="AN161" s="326"/>
    </row>
    <row r="162" spans="1:40" x14ac:dyDescent="0.15">
      <c r="A162" s="319"/>
      <c r="B162" s="320"/>
      <c r="C162" s="320"/>
      <c r="D162" s="320"/>
      <c r="E162" s="320"/>
      <c r="F162" s="320"/>
      <c r="G162" s="320"/>
      <c r="H162" s="320"/>
      <c r="I162" s="320"/>
      <c r="J162" s="320"/>
      <c r="K162" s="320"/>
      <c r="L162" s="320"/>
      <c r="M162" s="320"/>
      <c r="N162" s="320"/>
      <c r="O162" s="321"/>
      <c r="P162" s="321"/>
      <c r="Y162" s="326"/>
      <c r="Z162" s="326"/>
      <c r="AB162" s="326"/>
      <c r="AC162" s="326"/>
      <c r="AD162" s="326"/>
      <c r="AG162" s="326"/>
      <c r="AH162" s="326"/>
      <c r="AI162" s="326"/>
      <c r="AL162" s="326"/>
      <c r="AM162" s="326"/>
      <c r="AN162" s="326"/>
    </row>
    <row r="163" spans="1:40" x14ac:dyDescent="0.15">
      <c r="A163" s="319"/>
      <c r="B163" s="320"/>
      <c r="C163" s="320"/>
      <c r="D163" s="320"/>
      <c r="E163" s="320"/>
      <c r="F163" s="320"/>
      <c r="G163" s="320"/>
      <c r="H163" s="320"/>
      <c r="I163" s="320"/>
      <c r="J163" s="320"/>
      <c r="K163" s="320"/>
      <c r="L163" s="320"/>
      <c r="M163" s="320"/>
      <c r="N163" s="320"/>
      <c r="O163" s="321"/>
      <c r="P163" s="321"/>
      <c r="Y163" s="326"/>
      <c r="Z163" s="326"/>
      <c r="AB163" s="326"/>
      <c r="AC163" s="326"/>
      <c r="AD163" s="326"/>
      <c r="AG163" s="326"/>
      <c r="AH163" s="326"/>
      <c r="AI163" s="326"/>
      <c r="AL163" s="326"/>
      <c r="AM163" s="326"/>
      <c r="AN163" s="326"/>
    </row>
    <row r="164" spans="1:40" x14ac:dyDescent="0.15">
      <c r="A164" s="319"/>
      <c r="B164" s="320"/>
      <c r="C164" s="320"/>
      <c r="D164" s="320"/>
      <c r="E164" s="320"/>
      <c r="F164" s="320"/>
      <c r="G164" s="320"/>
      <c r="H164" s="320"/>
      <c r="I164" s="320"/>
      <c r="J164" s="320"/>
      <c r="K164" s="320"/>
      <c r="L164" s="320"/>
      <c r="M164" s="320"/>
      <c r="N164" s="320"/>
      <c r="O164" s="321"/>
      <c r="P164" s="321"/>
      <c r="Y164" s="326"/>
      <c r="Z164" s="326"/>
      <c r="AB164" s="326"/>
      <c r="AC164" s="326"/>
      <c r="AD164" s="326"/>
      <c r="AG164" s="326"/>
      <c r="AH164" s="326"/>
      <c r="AI164" s="326"/>
      <c r="AL164" s="326"/>
      <c r="AM164" s="326"/>
      <c r="AN164" s="326"/>
    </row>
    <row r="165" spans="1:40" x14ac:dyDescent="0.15">
      <c r="A165" s="319"/>
      <c r="B165" s="320"/>
      <c r="C165" s="320"/>
      <c r="D165" s="320"/>
      <c r="E165" s="320"/>
      <c r="F165" s="320"/>
      <c r="G165" s="320"/>
      <c r="H165" s="320"/>
      <c r="I165" s="320"/>
      <c r="J165" s="320"/>
      <c r="K165" s="320"/>
      <c r="L165" s="320"/>
      <c r="M165" s="320"/>
      <c r="N165" s="320"/>
      <c r="O165" s="321"/>
      <c r="P165" s="321"/>
      <c r="Y165" s="326"/>
      <c r="Z165" s="326"/>
      <c r="AB165" s="326"/>
      <c r="AC165" s="326"/>
      <c r="AD165" s="326"/>
      <c r="AG165" s="326"/>
      <c r="AH165" s="326"/>
      <c r="AI165" s="326"/>
      <c r="AL165" s="326"/>
      <c r="AM165" s="326"/>
      <c r="AN165" s="326"/>
    </row>
    <row r="166" spans="1:40" x14ac:dyDescent="0.15">
      <c r="A166" s="319"/>
      <c r="B166" s="320"/>
      <c r="C166" s="320"/>
      <c r="D166" s="320"/>
      <c r="E166" s="320"/>
      <c r="F166" s="320"/>
      <c r="G166" s="320"/>
      <c r="H166" s="320"/>
      <c r="I166" s="320"/>
      <c r="J166" s="320"/>
      <c r="K166" s="320"/>
      <c r="L166" s="320"/>
      <c r="M166" s="320"/>
      <c r="N166" s="320"/>
      <c r="O166" s="321"/>
      <c r="P166" s="321"/>
      <c r="Y166" s="326"/>
      <c r="Z166" s="326"/>
      <c r="AB166" s="326"/>
      <c r="AC166" s="326"/>
      <c r="AD166" s="326"/>
      <c r="AG166" s="326"/>
      <c r="AH166" s="326"/>
      <c r="AI166" s="326"/>
      <c r="AL166" s="326"/>
      <c r="AM166" s="326"/>
      <c r="AN166" s="326"/>
    </row>
    <row r="167" spans="1:40" x14ac:dyDescent="0.15">
      <c r="A167" s="319"/>
      <c r="B167" s="320"/>
      <c r="C167" s="320"/>
      <c r="D167" s="320"/>
      <c r="E167" s="320"/>
      <c r="F167" s="320"/>
      <c r="G167" s="320"/>
      <c r="H167" s="320"/>
      <c r="I167" s="320"/>
      <c r="J167" s="320"/>
      <c r="K167" s="320"/>
      <c r="L167" s="320"/>
      <c r="M167" s="320"/>
      <c r="N167" s="320"/>
      <c r="O167" s="321"/>
      <c r="P167" s="321"/>
      <c r="Y167" s="326"/>
      <c r="Z167" s="326"/>
      <c r="AB167" s="326"/>
      <c r="AC167" s="326"/>
      <c r="AD167" s="326"/>
      <c r="AG167" s="326"/>
      <c r="AH167" s="326"/>
      <c r="AI167" s="326"/>
      <c r="AL167" s="326"/>
      <c r="AM167" s="326"/>
      <c r="AN167" s="326"/>
    </row>
    <row r="168" spans="1:40" x14ac:dyDescent="0.15">
      <c r="A168" s="319"/>
      <c r="B168" s="320"/>
      <c r="C168" s="320"/>
      <c r="D168" s="320"/>
      <c r="E168" s="320"/>
      <c r="F168" s="320"/>
      <c r="G168" s="320"/>
      <c r="H168" s="320"/>
      <c r="I168" s="320"/>
      <c r="J168" s="320"/>
      <c r="K168" s="320"/>
      <c r="L168" s="320"/>
      <c r="M168" s="320"/>
      <c r="N168" s="320"/>
      <c r="O168" s="321"/>
      <c r="P168" s="321"/>
      <c r="Y168" s="326"/>
      <c r="Z168" s="326"/>
      <c r="AB168" s="326"/>
      <c r="AC168" s="326"/>
      <c r="AD168" s="326"/>
      <c r="AG168" s="326"/>
      <c r="AH168" s="326"/>
      <c r="AI168" s="326"/>
      <c r="AL168" s="326"/>
      <c r="AM168" s="326"/>
      <c r="AN168" s="326"/>
    </row>
    <row r="169" spans="1:40" x14ac:dyDescent="0.15">
      <c r="A169" s="319"/>
      <c r="B169" s="320"/>
      <c r="C169" s="320"/>
      <c r="D169" s="320"/>
      <c r="E169" s="320"/>
      <c r="F169" s="320"/>
      <c r="G169" s="320"/>
      <c r="H169" s="320"/>
      <c r="I169" s="320"/>
      <c r="J169" s="320"/>
      <c r="K169" s="320"/>
      <c r="L169" s="320"/>
      <c r="M169" s="320"/>
      <c r="N169" s="320"/>
      <c r="O169" s="321"/>
      <c r="P169" s="321"/>
      <c r="Y169" s="326"/>
      <c r="Z169" s="326"/>
      <c r="AB169" s="326"/>
      <c r="AC169" s="326"/>
      <c r="AD169" s="326"/>
      <c r="AG169" s="326"/>
      <c r="AH169" s="326"/>
      <c r="AI169" s="326"/>
      <c r="AL169" s="326"/>
      <c r="AM169" s="326"/>
      <c r="AN169" s="326"/>
    </row>
    <row r="170" spans="1:40" x14ac:dyDescent="0.15">
      <c r="A170" s="319"/>
      <c r="B170" s="320"/>
      <c r="C170" s="320"/>
      <c r="D170" s="320"/>
      <c r="E170" s="320"/>
      <c r="F170" s="320"/>
      <c r="G170" s="320"/>
      <c r="H170" s="320"/>
      <c r="I170" s="320"/>
      <c r="J170" s="320"/>
      <c r="K170" s="320"/>
      <c r="L170" s="320"/>
      <c r="M170" s="320"/>
      <c r="N170" s="320"/>
      <c r="O170" s="321"/>
      <c r="P170" s="321"/>
      <c r="Y170" s="326"/>
      <c r="Z170" s="326"/>
      <c r="AB170" s="326"/>
      <c r="AC170" s="326"/>
      <c r="AD170" s="326"/>
      <c r="AG170" s="326"/>
      <c r="AH170" s="326"/>
      <c r="AI170" s="326"/>
      <c r="AL170" s="326"/>
      <c r="AM170" s="326"/>
      <c r="AN170" s="326"/>
    </row>
    <row r="171" spans="1:40" x14ac:dyDescent="0.15">
      <c r="A171" s="319"/>
      <c r="B171" s="320"/>
      <c r="C171" s="320"/>
      <c r="D171" s="320"/>
      <c r="E171" s="320"/>
      <c r="F171" s="320"/>
      <c r="G171" s="320"/>
      <c r="H171" s="320"/>
      <c r="I171" s="320"/>
      <c r="J171" s="320"/>
      <c r="K171" s="320"/>
      <c r="L171" s="320"/>
      <c r="M171" s="320"/>
      <c r="N171" s="320"/>
      <c r="O171" s="321"/>
      <c r="P171" s="321"/>
      <c r="Y171" s="326"/>
      <c r="Z171" s="326"/>
      <c r="AB171" s="326"/>
      <c r="AC171" s="326"/>
      <c r="AD171" s="326"/>
      <c r="AG171" s="326"/>
      <c r="AH171" s="326"/>
      <c r="AI171" s="326"/>
      <c r="AL171" s="326"/>
      <c r="AM171" s="326"/>
      <c r="AN171" s="326"/>
    </row>
    <row r="172" spans="1:40" x14ac:dyDescent="0.15">
      <c r="A172" s="319"/>
      <c r="B172" s="320"/>
      <c r="C172" s="320"/>
      <c r="D172" s="320"/>
      <c r="E172" s="320"/>
      <c r="F172" s="320"/>
      <c r="G172" s="320"/>
      <c r="H172" s="320"/>
      <c r="I172" s="320"/>
      <c r="J172" s="320"/>
      <c r="K172" s="320"/>
      <c r="L172" s="320"/>
      <c r="M172" s="320"/>
      <c r="N172" s="320"/>
      <c r="O172" s="321"/>
      <c r="P172" s="321"/>
      <c r="Y172" s="326"/>
      <c r="Z172" s="326"/>
      <c r="AB172" s="326"/>
      <c r="AC172" s="326"/>
      <c r="AD172" s="326"/>
      <c r="AG172" s="326"/>
      <c r="AH172" s="326"/>
      <c r="AI172" s="326"/>
      <c r="AL172" s="326"/>
      <c r="AM172" s="326"/>
      <c r="AN172" s="326"/>
    </row>
    <row r="173" spans="1:40" x14ac:dyDescent="0.15">
      <c r="A173" s="319"/>
      <c r="B173" s="320"/>
      <c r="C173" s="320"/>
      <c r="D173" s="320"/>
      <c r="E173" s="320"/>
      <c r="F173" s="320"/>
      <c r="G173" s="320"/>
      <c r="H173" s="320"/>
      <c r="I173" s="320"/>
      <c r="J173" s="320"/>
      <c r="K173" s="320"/>
      <c r="L173" s="320"/>
      <c r="M173" s="320"/>
      <c r="N173" s="320"/>
      <c r="O173" s="321"/>
      <c r="P173" s="321"/>
      <c r="Y173" s="326"/>
      <c r="Z173" s="326"/>
      <c r="AB173" s="326"/>
      <c r="AC173" s="326"/>
      <c r="AD173" s="326"/>
      <c r="AG173" s="326"/>
      <c r="AH173" s="326"/>
      <c r="AI173" s="326"/>
      <c r="AL173" s="326"/>
      <c r="AM173" s="326"/>
      <c r="AN173" s="326"/>
    </row>
    <row r="174" spans="1:40" x14ac:dyDescent="0.15">
      <c r="A174" s="319"/>
      <c r="B174" s="320"/>
      <c r="C174" s="320"/>
      <c r="D174" s="320"/>
      <c r="E174" s="320"/>
      <c r="F174" s="320"/>
      <c r="G174" s="320"/>
      <c r="H174" s="320"/>
      <c r="I174" s="320"/>
      <c r="J174" s="320"/>
      <c r="K174" s="320"/>
      <c r="L174" s="320"/>
      <c r="M174" s="320"/>
      <c r="N174" s="320"/>
      <c r="O174" s="321"/>
      <c r="P174" s="321"/>
      <c r="Y174" s="326"/>
      <c r="Z174" s="326"/>
      <c r="AB174" s="326"/>
      <c r="AC174" s="326"/>
      <c r="AD174" s="326"/>
      <c r="AG174" s="326"/>
      <c r="AH174" s="326"/>
      <c r="AI174" s="326"/>
      <c r="AL174" s="326"/>
      <c r="AM174" s="326"/>
      <c r="AN174" s="326"/>
    </row>
    <row r="175" spans="1:40" x14ac:dyDescent="0.15">
      <c r="A175" s="319"/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P175" s="321"/>
      <c r="Y175" s="326"/>
      <c r="Z175" s="326"/>
      <c r="AB175" s="326"/>
      <c r="AC175" s="326"/>
      <c r="AD175" s="326"/>
      <c r="AG175" s="326"/>
      <c r="AH175" s="326"/>
      <c r="AI175" s="326"/>
      <c r="AL175" s="326"/>
      <c r="AM175" s="326"/>
      <c r="AN175" s="326"/>
    </row>
    <row r="176" spans="1:40" x14ac:dyDescent="0.15">
      <c r="A176" s="319"/>
      <c r="B176" s="320"/>
      <c r="C176" s="320"/>
      <c r="D176" s="320"/>
      <c r="E176" s="320"/>
      <c r="F176" s="320"/>
      <c r="G176" s="320"/>
      <c r="H176" s="320"/>
      <c r="I176" s="320"/>
      <c r="J176" s="320"/>
      <c r="K176" s="320"/>
      <c r="L176" s="320"/>
      <c r="M176" s="320"/>
      <c r="N176" s="320"/>
      <c r="O176" s="321"/>
      <c r="P176" s="321"/>
      <c r="Y176" s="326"/>
      <c r="Z176" s="326"/>
      <c r="AB176" s="326"/>
      <c r="AC176" s="326"/>
      <c r="AD176" s="326"/>
      <c r="AG176" s="326"/>
      <c r="AH176" s="326"/>
      <c r="AI176" s="326"/>
      <c r="AL176" s="326"/>
      <c r="AM176" s="326"/>
      <c r="AN176" s="326"/>
    </row>
    <row r="177" spans="1:40" x14ac:dyDescent="0.15">
      <c r="A177" s="319"/>
      <c r="B177" s="320"/>
      <c r="C177" s="320"/>
      <c r="D177" s="320"/>
      <c r="E177" s="320"/>
      <c r="F177" s="320"/>
      <c r="G177" s="320"/>
      <c r="H177" s="320"/>
      <c r="I177" s="320"/>
      <c r="J177" s="320"/>
      <c r="K177" s="320"/>
      <c r="L177" s="320"/>
      <c r="M177" s="320"/>
      <c r="N177" s="320"/>
      <c r="O177" s="321"/>
      <c r="P177" s="321"/>
      <c r="Y177" s="326"/>
      <c r="Z177" s="326"/>
      <c r="AB177" s="326"/>
      <c r="AC177" s="326"/>
      <c r="AD177" s="326"/>
      <c r="AG177" s="326"/>
      <c r="AH177" s="326"/>
      <c r="AI177" s="326"/>
      <c r="AL177" s="326"/>
      <c r="AM177" s="326"/>
      <c r="AN177" s="326"/>
    </row>
    <row r="178" spans="1:40" x14ac:dyDescent="0.15">
      <c r="A178" s="319"/>
      <c r="B178" s="320"/>
      <c r="C178" s="320"/>
      <c r="D178" s="320"/>
      <c r="E178" s="320"/>
      <c r="F178" s="320"/>
      <c r="G178" s="320"/>
      <c r="H178" s="320"/>
      <c r="I178" s="320"/>
      <c r="J178" s="320"/>
      <c r="K178" s="320"/>
      <c r="L178" s="320"/>
      <c r="M178" s="320"/>
      <c r="N178" s="320"/>
      <c r="O178" s="321"/>
      <c r="P178" s="321"/>
      <c r="Y178" s="326"/>
      <c r="Z178" s="326"/>
      <c r="AB178" s="326"/>
      <c r="AC178" s="326"/>
      <c r="AD178" s="326"/>
      <c r="AG178" s="326"/>
      <c r="AH178" s="326"/>
      <c r="AI178" s="326"/>
      <c r="AL178" s="326"/>
      <c r="AM178" s="326"/>
      <c r="AN178" s="326"/>
    </row>
    <row r="179" spans="1:40" x14ac:dyDescent="0.15">
      <c r="A179" s="319"/>
      <c r="B179" s="320"/>
      <c r="C179" s="320"/>
      <c r="D179" s="320"/>
      <c r="E179" s="320"/>
      <c r="F179" s="320"/>
      <c r="G179" s="320"/>
      <c r="H179" s="320"/>
      <c r="I179" s="320"/>
      <c r="J179" s="320"/>
      <c r="K179" s="320"/>
      <c r="L179" s="320"/>
      <c r="M179" s="320"/>
      <c r="N179" s="320"/>
      <c r="O179" s="321"/>
      <c r="P179" s="321"/>
      <c r="Y179" s="326"/>
      <c r="Z179" s="326"/>
      <c r="AB179" s="326"/>
      <c r="AC179" s="326"/>
      <c r="AD179" s="326"/>
      <c r="AG179" s="326"/>
      <c r="AH179" s="326"/>
      <c r="AI179" s="326"/>
      <c r="AL179" s="326"/>
      <c r="AM179" s="326"/>
      <c r="AN179" s="326"/>
    </row>
    <row r="180" spans="1:40" x14ac:dyDescent="0.15">
      <c r="A180" s="319"/>
      <c r="B180" s="320"/>
      <c r="C180" s="320"/>
      <c r="D180" s="320"/>
      <c r="E180" s="320"/>
      <c r="F180" s="320"/>
      <c r="G180" s="320"/>
      <c r="H180" s="320"/>
      <c r="I180" s="320"/>
      <c r="J180" s="320"/>
      <c r="K180" s="320"/>
      <c r="L180" s="320"/>
      <c r="M180" s="320"/>
      <c r="N180" s="320"/>
      <c r="O180" s="321"/>
      <c r="P180" s="321"/>
      <c r="Y180" s="326"/>
      <c r="Z180" s="326"/>
      <c r="AB180" s="326"/>
      <c r="AC180" s="326"/>
      <c r="AD180" s="326"/>
      <c r="AG180" s="326"/>
      <c r="AH180" s="326"/>
      <c r="AI180" s="326"/>
      <c r="AL180" s="326"/>
      <c r="AM180" s="326"/>
      <c r="AN180" s="326"/>
    </row>
    <row r="181" spans="1:40" x14ac:dyDescent="0.15">
      <c r="A181" s="319"/>
      <c r="B181" s="320"/>
      <c r="C181" s="320"/>
      <c r="D181" s="320"/>
      <c r="E181" s="320"/>
      <c r="F181" s="320"/>
      <c r="G181" s="320"/>
      <c r="H181" s="320"/>
      <c r="I181" s="320"/>
      <c r="J181" s="320"/>
      <c r="K181" s="320"/>
      <c r="L181" s="320"/>
      <c r="M181" s="320"/>
      <c r="N181" s="320"/>
      <c r="O181" s="321"/>
      <c r="P181" s="321"/>
      <c r="Y181" s="326"/>
      <c r="Z181" s="326"/>
      <c r="AB181" s="326"/>
      <c r="AC181" s="326"/>
      <c r="AD181" s="326"/>
      <c r="AG181" s="326"/>
      <c r="AH181" s="326"/>
      <c r="AI181" s="326"/>
      <c r="AL181" s="326"/>
      <c r="AM181" s="326"/>
      <c r="AN181" s="326"/>
    </row>
    <row r="182" spans="1:40" x14ac:dyDescent="0.15">
      <c r="A182" s="319"/>
      <c r="B182" s="320"/>
      <c r="C182" s="320"/>
      <c r="D182" s="320"/>
      <c r="E182" s="320"/>
      <c r="F182" s="320"/>
      <c r="G182" s="320"/>
      <c r="H182" s="320"/>
      <c r="I182" s="320"/>
      <c r="J182" s="320"/>
      <c r="K182" s="320"/>
      <c r="L182" s="320"/>
      <c r="M182" s="320"/>
      <c r="N182" s="320"/>
      <c r="O182" s="321"/>
      <c r="P182" s="321"/>
      <c r="Y182" s="326"/>
      <c r="Z182" s="326"/>
      <c r="AB182" s="326"/>
      <c r="AC182" s="326"/>
      <c r="AD182" s="326"/>
      <c r="AG182" s="326"/>
      <c r="AH182" s="326"/>
      <c r="AI182" s="326"/>
      <c r="AL182" s="326"/>
      <c r="AM182" s="326"/>
      <c r="AN182" s="326"/>
    </row>
    <row r="183" spans="1:40" x14ac:dyDescent="0.15">
      <c r="A183" s="319"/>
      <c r="B183" s="320"/>
      <c r="C183" s="320"/>
      <c r="D183" s="320"/>
      <c r="E183" s="320"/>
      <c r="F183" s="320"/>
      <c r="G183" s="320"/>
      <c r="H183" s="320"/>
      <c r="I183" s="320"/>
      <c r="J183" s="320"/>
      <c r="K183" s="320"/>
      <c r="L183" s="320"/>
      <c r="M183" s="320"/>
      <c r="N183" s="320"/>
      <c r="O183" s="321"/>
      <c r="P183" s="321"/>
      <c r="Y183" s="326"/>
      <c r="Z183" s="326"/>
      <c r="AB183" s="326"/>
      <c r="AC183" s="326"/>
      <c r="AD183" s="326"/>
      <c r="AG183" s="326"/>
      <c r="AH183" s="326"/>
      <c r="AI183" s="326"/>
      <c r="AL183" s="326"/>
      <c r="AM183" s="326"/>
      <c r="AN183" s="326"/>
    </row>
    <row r="184" spans="1:40" x14ac:dyDescent="0.15">
      <c r="A184" s="319"/>
      <c r="B184" s="320"/>
      <c r="C184" s="320"/>
      <c r="D184" s="320"/>
      <c r="E184" s="320"/>
      <c r="F184" s="320"/>
      <c r="G184" s="320"/>
      <c r="H184" s="320"/>
      <c r="I184" s="320"/>
      <c r="J184" s="320"/>
      <c r="K184" s="320"/>
      <c r="L184" s="320"/>
      <c r="M184" s="320"/>
      <c r="N184" s="320"/>
      <c r="O184" s="321"/>
      <c r="P184" s="321"/>
      <c r="Y184" s="326"/>
      <c r="Z184" s="326"/>
      <c r="AB184" s="326"/>
      <c r="AC184" s="326"/>
      <c r="AD184" s="326"/>
      <c r="AG184" s="326"/>
      <c r="AH184" s="326"/>
      <c r="AI184" s="326"/>
      <c r="AL184" s="326"/>
      <c r="AM184" s="326"/>
      <c r="AN184" s="326"/>
    </row>
    <row r="185" spans="1:40" x14ac:dyDescent="0.15">
      <c r="A185" s="319"/>
      <c r="B185" s="320"/>
      <c r="C185" s="320"/>
      <c r="D185" s="320"/>
      <c r="E185" s="320"/>
      <c r="F185" s="320"/>
      <c r="G185" s="320"/>
      <c r="H185" s="320"/>
      <c r="I185" s="320"/>
      <c r="J185" s="320"/>
      <c r="K185" s="320"/>
      <c r="L185" s="320"/>
      <c r="M185" s="320"/>
      <c r="N185" s="320"/>
      <c r="O185" s="321"/>
      <c r="P185" s="321"/>
      <c r="Y185" s="326"/>
      <c r="Z185" s="326"/>
      <c r="AB185" s="326"/>
      <c r="AC185" s="326"/>
      <c r="AD185" s="326"/>
      <c r="AG185" s="326"/>
      <c r="AH185" s="326"/>
      <c r="AI185" s="326"/>
      <c r="AL185" s="326"/>
      <c r="AM185" s="326"/>
      <c r="AN185" s="326"/>
    </row>
    <row r="186" spans="1:40" x14ac:dyDescent="0.15">
      <c r="A186" s="319"/>
      <c r="B186" s="320"/>
      <c r="C186" s="320"/>
      <c r="D186" s="320"/>
      <c r="E186" s="320"/>
      <c r="F186" s="320"/>
      <c r="G186" s="320"/>
      <c r="H186" s="320"/>
      <c r="I186" s="320"/>
      <c r="J186" s="320"/>
      <c r="K186" s="320"/>
      <c r="L186" s="320"/>
      <c r="M186" s="320"/>
      <c r="N186" s="320"/>
      <c r="O186" s="321"/>
      <c r="P186" s="321"/>
      <c r="Y186" s="326"/>
      <c r="Z186" s="326"/>
      <c r="AB186" s="326"/>
      <c r="AC186" s="326"/>
      <c r="AD186" s="326"/>
      <c r="AG186" s="326"/>
      <c r="AH186" s="326"/>
      <c r="AI186" s="326"/>
      <c r="AL186" s="326"/>
      <c r="AM186" s="326"/>
      <c r="AN186" s="326"/>
    </row>
    <row r="187" spans="1:40" x14ac:dyDescent="0.15">
      <c r="A187" s="319"/>
      <c r="B187" s="320"/>
      <c r="C187" s="320"/>
      <c r="D187" s="320"/>
      <c r="E187" s="320"/>
      <c r="F187" s="320"/>
      <c r="G187" s="320"/>
      <c r="H187" s="320"/>
      <c r="I187" s="320"/>
      <c r="J187" s="320"/>
      <c r="K187" s="320"/>
      <c r="L187" s="320"/>
      <c r="M187" s="320"/>
      <c r="N187" s="320"/>
      <c r="O187" s="321"/>
      <c r="P187" s="321"/>
      <c r="Y187" s="326"/>
      <c r="Z187" s="326"/>
      <c r="AB187" s="326"/>
      <c r="AC187" s="326"/>
      <c r="AD187" s="326"/>
      <c r="AG187" s="326"/>
      <c r="AH187" s="326"/>
      <c r="AI187" s="326"/>
      <c r="AL187" s="326"/>
      <c r="AM187" s="326"/>
      <c r="AN187" s="326"/>
    </row>
    <row r="188" spans="1:40" x14ac:dyDescent="0.15">
      <c r="A188" s="319"/>
      <c r="B188" s="320"/>
      <c r="C188" s="320"/>
      <c r="D188" s="320"/>
      <c r="E188" s="320"/>
      <c r="F188" s="320"/>
      <c r="G188" s="320"/>
      <c r="H188" s="320"/>
      <c r="I188" s="320"/>
      <c r="J188" s="320"/>
      <c r="K188" s="320"/>
      <c r="L188" s="320"/>
      <c r="M188" s="320"/>
      <c r="N188" s="320"/>
      <c r="O188" s="321"/>
      <c r="P188" s="321"/>
      <c r="Y188" s="326"/>
      <c r="Z188" s="326"/>
      <c r="AB188" s="326"/>
      <c r="AC188" s="326"/>
      <c r="AD188" s="326"/>
      <c r="AG188" s="326"/>
      <c r="AH188" s="326"/>
      <c r="AI188" s="326"/>
      <c r="AL188" s="326"/>
      <c r="AM188" s="326"/>
      <c r="AN188" s="326"/>
    </row>
    <row r="189" spans="1:40" x14ac:dyDescent="0.15">
      <c r="A189" s="319"/>
      <c r="B189" s="320"/>
      <c r="C189" s="320"/>
      <c r="D189" s="320"/>
      <c r="E189" s="320"/>
      <c r="F189" s="320"/>
      <c r="G189" s="320"/>
      <c r="H189" s="320"/>
      <c r="I189" s="320"/>
      <c r="J189" s="320"/>
      <c r="K189" s="320"/>
      <c r="L189" s="320"/>
      <c r="M189" s="320"/>
      <c r="N189" s="320"/>
      <c r="O189" s="321"/>
      <c r="P189" s="321"/>
      <c r="Y189" s="326"/>
      <c r="Z189" s="326"/>
      <c r="AB189" s="326"/>
      <c r="AC189" s="326"/>
      <c r="AD189" s="326"/>
      <c r="AG189" s="326"/>
      <c r="AH189" s="326"/>
      <c r="AI189" s="326"/>
      <c r="AL189" s="326"/>
      <c r="AM189" s="326"/>
      <c r="AN189" s="326"/>
    </row>
    <row r="190" spans="1:40" x14ac:dyDescent="0.15">
      <c r="A190" s="319"/>
      <c r="B190" s="320"/>
      <c r="C190" s="320"/>
      <c r="D190" s="320"/>
      <c r="E190" s="320"/>
      <c r="F190" s="320"/>
      <c r="G190" s="320"/>
      <c r="H190" s="320"/>
      <c r="I190" s="320"/>
      <c r="J190" s="320"/>
      <c r="K190" s="320"/>
      <c r="L190" s="320"/>
      <c r="M190" s="320"/>
      <c r="N190" s="320"/>
      <c r="O190" s="321"/>
      <c r="P190" s="321"/>
      <c r="Y190" s="326"/>
      <c r="Z190" s="326"/>
      <c r="AB190" s="326"/>
      <c r="AC190" s="326"/>
      <c r="AD190" s="326"/>
      <c r="AG190" s="326"/>
      <c r="AH190" s="326"/>
      <c r="AI190" s="326"/>
      <c r="AL190" s="326"/>
      <c r="AM190" s="326"/>
      <c r="AN190" s="326"/>
    </row>
    <row r="191" spans="1:40" x14ac:dyDescent="0.15">
      <c r="A191" s="319"/>
      <c r="B191" s="320"/>
      <c r="C191" s="320"/>
      <c r="D191" s="320"/>
      <c r="E191" s="320"/>
      <c r="F191" s="320"/>
      <c r="G191" s="320"/>
      <c r="H191" s="320"/>
      <c r="I191" s="320"/>
      <c r="J191" s="320"/>
      <c r="K191" s="320"/>
      <c r="L191" s="320"/>
      <c r="M191" s="320"/>
      <c r="N191" s="320"/>
      <c r="O191" s="321"/>
      <c r="P191" s="321"/>
      <c r="Y191" s="326"/>
      <c r="Z191" s="326"/>
      <c r="AB191" s="326"/>
      <c r="AC191" s="326"/>
      <c r="AD191" s="326"/>
      <c r="AG191" s="326"/>
      <c r="AH191" s="326"/>
      <c r="AI191" s="326"/>
      <c r="AL191" s="326"/>
      <c r="AM191" s="326"/>
      <c r="AN191" s="326"/>
    </row>
    <row r="192" spans="1:40" x14ac:dyDescent="0.15">
      <c r="A192" s="319"/>
      <c r="B192" s="320"/>
      <c r="C192" s="320"/>
      <c r="D192" s="320"/>
      <c r="E192" s="320"/>
      <c r="F192" s="320"/>
      <c r="G192" s="320"/>
      <c r="H192" s="320"/>
      <c r="I192" s="320"/>
      <c r="J192" s="320"/>
      <c r="K192" s="320"/>
      <c r="L192" s="320"/>
      <c r="M192" s="320"/>
      <c r="N192" s="320"/>
      <c r="O192" s="321"/>
      <c r="P192" s="321"/>
      <c r="Y192" s="326"/>
      <c r="Z192" s="326"/>
      <c r="AB192" s="326"/>
      <c r="AC192" s="326"/>
      <c r="AD192" s="326"/>
      <c r="AG192" s="326"/>
      <c r="AH192" s="326"/>
      <c r="AI192" s="326"/>
      <c r="AL192" s="326"/>
      <c r="AM192" s="326"/>
      <c r="AN192" s="326"/>
    </row>
    <row r="193" spans="1:40" x14ac:dyDescent="0.15">
      <c r="A193" s="319"/>
      <c r="B193" s="320"/>
      <c r="C193" s="320"/>
      <c r="D193" s="320"/>
      <c r="E193" s="320"/>
      <c r="F193" s="320"/>
      <c r="G193" s="320"/>
      <c r="H193" s="320"/>
      <c r="I193" s="320"/>
      <c r="J193" s="320"/>
      <c r="K193" s="320"/>
      <c r="L193" s="320"/>
      <c r="M193" s="320"/>
      <c r="N193" s="320"/>
      <c r="O193" s="321"/>
      <c r="P193" s="321"/>
      <c r="Y193" s="326"/>
      <c r="Z193" s="326"/>
      <c r="AB193" s="326"/>
      <c r="AC193" s="326"/>
      <c r="AD193" s="326"/>
      <c r="AG193" s="326"/>
      <c r="AH193" s="326"/>
      <c r="AI193" s="326"/>
      <c r="AL193" s="326"/>
      <c r="AM193" s="326"/>
      <c r="AN193" s="326"/>
    </row>
    <row r="194" spans="1:40" x14ac:dyDescent="0.15">
      <c r="A194" s="319"/>
      <c r="B194" s="320"/>
      <c r="C194" s="320"/>
      <c r="D194" s="320"/>
      <c r="E194" s="320"/>
      <c r="F194" s="320"/>
      <c r="G194" s="320"/>
      <c r="H194" s="320"/>
      <c r="I194" s="320"/>
      <c r="J194" s="320"/>
      <c r="K194" s="320"/>
      <c r="L194" s="320"/>
      <c r="M194" s="320"/>
      <c r="N194" s="320"/>
      <c r="O194" s="321"/>
      <c r="P194" s="321"/>
      <c r="Y194" s="326"/>
      <c r="Z194" s="326"/>
      <c r="AB194" s="326"/>
      <c r="AC194" s="326"/>
      <c r="AD194" s="326"/>
      <c r="AG194" s="326"/>
      <c r="AH194" s="326"/>
      <c r="AI194" s="326"/>
      <c r="AL194" s="326"/>
      <c r="AM194" s="326"/>
      <c r="AN194" s="326"/>
    </row>
    <row r="195" spans="1:40" x14ac:dyDescent="0.15">
      <c r="A195" s="319"/>
      <c r="B195" s="320"/>
      <c r="C195" s="320"/>
      <c r="D195" s="320"/>
      <c r="E195" s="320"/>
      <c r="F195" s="320"/>
      <c r="G195" s="320"/>
      <c r="H195" s="320"/>
      <c r="I195" s="320"/>
      <c r="J195" s="320"/>
      <c r="K195" s="320"/>
      <c r="L195" s="320"/>
      <c r="M195" s="320"/>
      <c r="N195" s="320"/>
      <c r="O195" s="321"/>
      <c r="P195" s="321"/>
      <c r="Y195" s="326"/>
      <c r="Z195" s="326"/>
      <c r="AB195" s="326"/>
      <c r="AC195" s="326"/>
      <c r="AD195" s="326"/>
      <c r="AG195" s="326"/>
      <c r="AH195" s="326"/>
      <c r="AI195" s="326"/>
      <c r="AL195" s="326"/>
      <c r="AM195" s="326"/>
      <c r="AN195" s="326"/>
    </row>
    <row r="196" spans="1:40" x14ac:dyDescent="0.15">
      <c r="A196" s="319"/>
      <c r="B196" s="320"/>
      <c r="C196" s="320"/>
      <c r="D196" s="320"/>
      <c r="E196" s="320"/>
      <c r="F196" s="320"/>
      <c r="G196" s="320"/>
      <c r="H196" s="320"/>
      <c r="I196" s="320"/>
      <c r="J196" s="320"/>
      <c r="K196" s="320"/>
      <c r="L196" s="320"/>
      <c r="M196" s="320"/>
      <c r="N196" s="320"/>
      <c r="O196" s="321"/>
      <c r="P196" s="321"/>
      <c r="Y196" s="326"/>
      <c r="Z196" s="326"/>
      <c r="AB196" s="326"/>
      <c r="AC196" s="326"/>
      <c r="AD196" s="326"/>
      <c r="AG196" s="326"/>
      <c r="AH196" s="326"/>
      <c r="AI196" s="326"/>
      <c r="AL196" s="326"/>
      <c r="AM196" s="326"/>
      <c r="AN196" s="326"/>
    </row>
    <row r="197" spans="1:40" x14ac:dyDescent="0.15">
      <c r="A197" s="319"/>
      <c r="B197" s="320"/>
      <c r="C197" s="320"/>
      <c r="D197" s="320"/>
      <c r="E197" s="320"/>
      <c r="F197" s="320"/>
      <c r="G197" s="320"/>
      <c r="H197" s="320"/>
      <c r="I197" s="320"/>
      <c r="J197" s="320"/>
      <c r="K197" s="320"/>
      <c r="L197" s="320"/>
      <c r="M197" s="320"/>
      <c r="N197" s="320"/>
      <c r="O197" s="321"/>
      <c r="P197" s="321"/>
      <c r="Y197" s="326"/>
      <c r="Z197" s="326"/>
      <c r="AB197" s="326"/>
      <c r="AC197" s="326"/>
      <c r="AD197" s="326"/>
      <c r="AG197" s="326"/>
      <c r="AH197" s="326"/>
      <c r="AI197" s="326"/>
      <c r="AL197" s="326"/>
      <c r="AM197" s="326"/>
      <c r="AN197" s="326"/>
    </row>
    <row r="198" spans="1:40" x14ac:dyDescent="0.15">
      <c r="A198" s="319"/>
      <c r="B198" s="320"/>
      <c r="C198" s="320"/>
      <c r="D198" s="320"/>
      <c r="E198" s="320"/>
      <c r="F198" s="320"/>
      <c r="G198" s="320"/>
      <c r="H198" s="320"/>
      <c r="I198" s="320"/>
      <c r="J198" s="320"/>
      <c r="K198" s="320"/>
      <c r="L198" s="320"/>
      <c r="M198" s="320"/>
      <c r="N198" s="320"/>
      <c r="O198" s="321"/>
      <c r="P198" s="321"/>
      <c r="Y198" s="326"/>
      <c r="Z198" s="326"/>
      <c r="AB198" s="326"/>
      <c r="AC198" s="326"/>
      <c r="AD198" s="326"/>
      <c r="AG198" s="326"/>
      <c r="AH198" s="326"/>
      <c r="AI198" s="326"/>
      <c r="AL198" s="326"/>
      <c r="AM198" s="326"/>
      <c r="AN198" s="326"/>
    </row>
    <row r="199" spans="1:40" x14ac:dyDescent="0.15">
      <c r="A199" s="319"/>
      <c r="B199" s="320"/>
      <c r="C199" s="320"/>
      <c r="D199" s="320"/>
      <c r="E199" s="320"/>
      <c r="F199" s="320"/>
      <c r="G199" s="320"/>
      <c r="H199" s="320"/>
      <c r="I199" s="320"/>
      <c r="J199" s="320"/>
      <c r="K199" s="320"/>
      <c r="L199" s="320"/>
      <c r="M199" s="320"/>
      <c r="N199" s="320"/>
      <c r="O199" s="321"/>
      <c r="P199" s="321"/>
      <c r="Y199" s="326"/>
      <c r="Z199" s="326"/>
      <c r="AB199" s="326"/>
      <c r="AC199" s="326"/>
      <c r="AD199" s="326"/>
      <c r="AG199" s="326"/>
      <c r="AH199" s="326"/>
      <c r="AI199" s="326"/>
      <c r="AL199" s="326"/>
      <c r="AM199" s="326"/>
      <c r="AN199" s="326"/>
    </row>
    <row r="200" spans="1:40" x14ac:dyDescent="0.15">
      <c r="A200" s="319"/>
      <c r="B200" s="320"/>
      <c r="C200" s="320"/>
      <c r="D200" s="320"/>
      <c r="E200" s="320"/>
      <c r="F200" s="320"/>
      <c r="G200" s="320"/>
      <c r="H200" s="320"/>
      <c r="I200" s="320"/>
      <c r="J200" s="320"/>
      <c r="K200" s="320"/>
      <c r="L200" s="320"/>
      <c r="M200" s="320"/>
      <c r="N200" s="320"/>
      <c r="O200" s="321"/>
      <c r="P200" s="321"/>
      <c r="Y200" s="326"/>
      <c r="Z200" s="326"/>
      <c r="AB200" s="326"/>
      <c r="AC200" s="326"/>
      <c r="AD200" s="326"/>
      <c r="AG200" s="326"/>
      <c r="AH200" s="326"/>
      <c r="AI200" s="326"/>
      <c r="AL200" s="326"/>
      <c r="AM200" s="326"/>
      <c r="AN200" s="326"/>
    </row>
    <row r="201" spans="1:40" x14ac:dyDescent="0.15">
      <c r="A201" s="319"/>
      <c r="B201" s="320"/>
      <c r="C201" s="320"/>
      <c r="D201" s="320"/>
      <c r="E201" s="320"/>
      <c r="F201" s="320"/>
      <c r="G201" s="320"/>
      <c r="H201" s="320"/>
      <c r="I201" s="320"/>
      <c r="J201" s="320"/>
      <c r="K201" s="320"/>
      <c r="L201" s="320"/>
      <c r="M201" s="320"/>
      <c r="N201" s="320"/>
      <c r="O201" s="321"/>
      <c r="P201" s="321"/>
      <c r="Y201" s="326"/>
      <c r="Z201" s="326"/>
      <c r="AB201" s="326"/>
      <c r="AC201" s="326"/>
      <c r="AD201" s="326"/>
      <c r="AG201" s="326"/>
      <c r="AH201" s="326"/>
      <c r="AI201" s="326"/>
      <c r="AL201" s="326"/>
      <c r="AM201" s="326"/>
      <c r="AN201" s="326"/>
    </row>
    <row r="202" spans="1:40" x14ac:dyDescent="0.15">
      <c r="A202" s="319"/>
      <c r="B202" s="320"/>
      <c r="C202" s="320"/>
      <c r="D202" s="320"/>
      <c r="E202" s="320"/>
      <c r="F202" s="320"/>
      <c r="G202" s="320"/>
      <c r="H202" s="320"/>
      <c r="I202" s="320"/>
      <c r="J202" s="320"/>
      <c r="K202" s="320"/>
      <c r="L202" s="320"/>
      <c r="M202" s="320"/>
      <c r="N202" s="320"/>
      <c r="O202" s="321"/>
      <c r="P202" s="321"/>
      <c r="Y202" s="326"/>
      <c r="Z202" s="326"/>
      <c r="AB202" s="326"/>
      <c r="AC202" s="326"/>
      <c r="AD202" s="326"/>
      <c r="AG202" s="326"/>
      <c r="AH202" s="326"/>
      <c r="AI202" s="326"/>
      <c r="AL202" s="326"/>
      <c r="AM202" s="326"/>
      <c r="AN202" s="326"/>
    </row>
    <row r="203" spans="1:40" x14ac:dyDescent="0.15">
      <c r="A203" s="319"/>
      <c r="B203" s="320"/>
      <c r="C203" s="320"/>
      <c r="D203" s="320"/>
      <c r="E203" s="320"/>
      <c r="F203" s="320"/>
      <c r="G203" s="320"/>
      <c r="H203" s="320"/>
      <c r="I203" s="320"/>
      <c r="J203" s="320"/>
      <c r="K203" s="320"/>
      <c r="L203" s="320"/>
      <c r="M203" s="320"/>
      <c r="N203" s="320"/>
      <c r="O203" s="321"/>
      <c r="P203" s="321"/>
      <c r="Y203" s="326"/>
      <c r="Z203" s="326"/>
      <c r="AB203" s="326"/>
      <c r="AC203" s="326"/>
      <c r="AD203" s="326"/>
      <c r="AG203" s="326"/>
      <c r="AH203" s="326"/>
      <c r="AI203" s="326"/>
      <c r="AL203" s="326"/>
      <c r="AM203" s="326"/>
      <c r="AN203" s="326"/>
    </row>
    <row r="204" spans="1:40" x14ac:dyDescent="0.15">
      <c r="A204" s="319"/>
      <c r="B204" s="320"/>
      <c r="C204" s="320"/>
      <c r="D204" s="320"/>
      <c r="E204" s="320"/>
      <c r="F204" s="320"/>
      <c r="G204" s="320"/>
      <c r="H204" s="320"/>
      <c r="I204" s="320"/>
      <c r="J204" s="320"/>
      <c r="K204" s="320"/>
      <c r="L204" s="320"/>
      <c r="M204" s="320"/>
      <c r="N204" s="320"/>
      <c r="O204" s="321"/>
      <c r="P204" s="321"/>
      <c r="Y204" s="326"/>
      <c r="Z204" s="326"/>
      <c r="AB204" s="326"/>
      <c r="AC204" s="326"/>
      <c r="AD204" s="326"/>
      <c r="AG204" s="326"/>
      <c r="AH204" s="326"/>
      <c r="AI204" s="326"/>
      <c r="AL204" s="326"/>
      <c r="AM204" s="326"/>
      <c r="AN204" s="326"/>
    </row>
    <row r="205" spans="1:40" x14ac:dyDescent="0.15">
      <c r="A205" s="319"/>
      <c r="B205" s="320"/>
      <c r="C205" s="320"/>
      <c r="D205" s="320"/>
      <c r="E205" s="320"/>
      <c r="F205" s="320"/>
      <c r="G205" s="320"/>
      <c r="H205" s="320"/>
      <c r="I205" s="320"/>
      <c r="J205" s="320"/>
      <c r="K205" s="320"/>
      <c r="L205" s="320"/>
      <c r="M205" s="320"/>
      <c r="N205" s="320"/>
      <c r="O205" s="321"/>
      <c r="P205" s="321"/>
      <c r="Y205" s="326"/>
      <c r="Z205" s="326"/>
      <c r="AB205" s="326"/>
      <c r="AC205" s="326"/>
      <c r="AD205" s="326"/>
      <c r="AG205" s="326"/>
      <c r="AH205" s="326"/>
      <c r="AI205" s="326"/>
      <c r="AL205" s="326"/>
      <c r="AM205" s="326"/>
      <c r="AN205" s="326"/>
    </row>
    <row r="206" spans="1:40" x14ac:dyDescent="0.15">
      <c r="A206" s="319"/>
      <c r="B206" s="320"/>
      <c r="C206" s="320"/>
      <c r="D206" s="320"/>
      <c r="E206" s="320"/>
      <c r="F206" s="320"/>
      <c r="G206" s="320"/>
      <c r="H206" s="320"/>
      <c r="I206" s="320"/>
      <c r="J206" s="320"/>
      <c r="K206" s="320"/>
      <c r="L206" s="320"/>
      <c r="M206" s="320"/>
      <c r="N206" s="320"/>
      <c r="O206" s="321"/>
      <c r="P206" s="321"/>
      <c r="Y206" s="326"/>
      <c r="Z206" s="326"/>
      <c r="AB206" s="326"/>
      <c r="AC206" s="326"/>
      <c r="AD206" s="326"/>
      <c r="AG206" s="326"/>
      <c r="AH206" s="326"/>
      <c r="AI206" s="326"/>
      <c r="AL206" s="326"/>
      <c r="AM206" s="326"/>
      <c r="AN206" s="326"/>
    </row>
    <row r="207" spans="1:40" x14ac:dyDescent="0.15">
      <c r="A207" s="319"/>
      <c r="B207" s="320"/>
      <c r="C207" s="320"/>
      <c r="D207" s="320"/>
      <c r="E207" s="320"/>
      <c r="F207" s="320"/>
      <c r="G207" s="320"/>
      <c r="H207" s="320"/>
      <c r="I207" s="320"/>
      <c r="J207" s="320"/>
      <c r="K207" s="320"/>
      <c r="L207" s="320"/>
      <c r="M207" s="320"/>
      <c r="N207" s="320"/>
      <c r="O207" s="321"/>
      <c r="P207" s="321"/>
      <c r="Y207" s="326"/>
      <c r="Z207" s="326"/>
      <c r="AB207" s="326"/>
      <c r="AC207" s="326"/>
      <c r="AD207" s="326"/>
      <c r="AG207" s="326"/>
      <c r="AH207" s="326"/>
      <c r="AI207" s="326"/>
      <c r="AL207" s="326"/>
      <c r="AM207" s="326"/>
      <c r="AN207" s="326"/>
    </row>
    <row r="208" spans="1:40" x14ac:dyDescent="0.15">
      <c r="A208" s="319"/>
      <c r="B208" s="320"/>
      <c r="C208" s="320"/>
      <c r="D208" s="320"/>
      <c r="E208" s="320"/>
      <c r="F208" s="320"/>
      <c r="G208" s="320"/>
      <c r="H208" s="320"/>
      <c r="I208" s="320"/>
      <c r="J208" s="320"/>
      <c r="K208" s="320"/>
      <c r="L208" s="320"/>
      <c r="M208" s="320"/>
      <c r="N208" s="320"/>
      <c r="O208" s="321"/>
      <c r="P208" s="321"/>
      <c r="Y208" s="326"/>
      <c r="Z208" s="326"/>
      <c r="AB208" s="326"/>
      <c r="AC208" s="326"/>
      <c r="AD208" s="326"/>
      <c r="AG208" s="326"/>
      <c r="AH208" s="326"/>
      <c r="AI208" s="326"/>
      <c r="AL208" s="326"/>
      <c r="AM208" s="326"/>
      <c r="AN208" s="326"/>
    </row>
    <row r="209" spans="1:40" x14ac:dyDescent="0.15">
      <c r="A209" s="319"/>
      <c r="B209" s="320"/>
      <c r="C209" s="320"/>
      <c r="D209" s="320"/>
      <c r="E209" s="320"/>
      <c r="F209" s="320"/>
      <c r="G209" s="320"/>
      <c r="H209" s="320"/>
      <c r="I209" s="320"/>
      <c r="J209" s="320"/>
      <c r="K209" s="320"/>
      <c r="L209" s="320"/>
      <c r="M209" s="320"/>
      <c r="N209" s="320"/>
      <c r="O209" s="321"/>
      <c r="P209" s="321"/>
      <c r="Y209" s="326"/>
      <c r="Z209" s="326"/>
      <c r="AB209" s="326"/>
      <c r="AC209" s="326"/>
      <c r="AD209" s="326"/>
      <c r="AG209" s="326"/>
      <c r="AH209" s="326"/>
      <c r="AI209" s="326"/>
      <c r="AL209" s="326"/>
      <c r="AM209" s="326"/>
      <c r="AN209" s="326"/>
    </row>
    <row r="210" spans="1:40" x14ac:dyDescent="0.15">
      <c r="A210" s="319"/>
      <c r="B210" s="320"/>
      <c r="C210" s="320"/>
      <c r="D210" s="320"/>
      <c r="E210" s="320"/>
      <c r="F210" s="320"/>
      <c r="G210" s="320"/>
      <c r="H210" s="320"/>
      <c r="I210" s="320"/>
      <c r="J210" s="320"/>
      <c r="K210" s="320"/>
      <c r="L210" s="320"/>
      <c r="M210" s="320"/>
      <c r="N210" s="320"/>
      <c r="O210" s="321"/>
      <c r="P210" s="321"/>
      <c r="Y210" s="326"/>
      <c r="Z210" s="326"/>
      <c r="AB210" s="326"/>
      <c r="AC210" s="326"/>
      <c r="AD210" s="326"/>
      <c r="AG210" s="326"/>
      <c r="AH210" s="326"/>
      <c r="AI210" s="326"/>
      <c r="AL210" s="326"/>
      <c r="AM210" s="326"/>
      <c r="AN210" s="326"/>
    </row>
    <row r="211" spans="1:40" x14ac:dyDescent="0.15">
      <c r="A211" s="319"/>
      <c r="B211" s="320"/>
      <c r="C211" s="320"/>
      <c r="D211" s="320"/>
      <c r="E211" s="320"/>
      <c r="F211" s="320"/>
      <c r="G211" s="320"/>
      <c r="H211" s="320"/>
      <c r="I211" s="320"/>
      <c r="J211" s="320"/>
      <c r="K211" s="320"/>
      <c r="L211" s="320"/>
      <c r="M211" s="320"/>
      <c r="N211" s="320"/>
      <c r="O211" s="321"/>
      <c r="P211" s="321"/>
      <c r="Y211" s="326"/>
      <c r="Z211" s="326"/>
      <c r="AB211" s="326"/>
      <c r="AC211" s="326"/>
      <c r="AD211" s="326"/>
      <c r="AG211" s="326"/>
      <c r="AH211" s="326"/>
      <c r="AI211" s="326"/>
      <c r="AL211" s="326"/>
      <c r="AM211" s="326"/>
      <c r="AN211" s="326"/>
    </row>
    <row r="212" spans="1:40" x14ac:dyDescent="0.15">
      <c r="A212" s="319"/>
      <c r="B212" s="320"/>
      <c r="C212" s="320"/>
      <c r="D212" s="320"/>
      <c r="E212" s="320"/>
      <c r="F212" s="320"/>
      <c r="G212" s="320"/>
      <c r="H212" s="320"/>
      <c r="I212" s="320"/>
      <c r="J212" s="320"/>
      <c r="K212" s="320"/>
      <c r="L212" s="320"/>
      <c r="M212" s="320"/>
      <c r="N212" s="320"/>
      <c r="O212" s="321"/>
      <c r="P212" s="321"/>
      <c r="Y212" s="326"/>
      <c r="Z212" s="326"/>
      <c r="AA212" s="326"/>
      <c r="AB212" s="326"/>
      <c r="AC212" s="326"/>
      <c r="AD212" s="326"/>
      <c r="AG212" s="326"/>
      <c r="AH212" s="326"/>
      <c r="AI212" s="326"/>
      <c r="AL212" s="326"/>
      <c r="AM212" s="326"/>
      <c r="AN212" s="326"/>
    </row>
    <row r="213" spans="1:40" x14ac:dyDescent="0.15">
      <c r="A213" s="319"/>
      <c r="B213" s="320"/>
      <c r="C213" s="320"/>
      <c r="D213" s="320"/>
      <c r="E213" s="320"/>
      <c r="F213" s="320"/>
      <c r="G213" s="320"/>
      <c r="H213" s="320"/>
      <c r="I213" s="320"/>
      <c r="J213" s="320"/>
      <c r="K213" s="320"/>
      <c r="L213" s="320"/>
      <c r="M213" s="320"/>
      <c r="N213" s="320"/>
      <c r="O213" s="321"/>
      <c r="P213" s="321"/>
      <c r="Y213" s="326"/>
      <c r="Z213" s="326"/>
      <c r="AA213" s="326"/>
      <c r="AB213" s="326"/>
      <c r="AC213" s="326"/>
      <c r="AD213" s="326"/>
      <c r="AG213" s="326"/>
      <c r="AH213" s="326"/>
      <c r="AI213" s="326"/>
      <c r="AL213" s="326"/>
      <c r="AM213" s="326"/>
      <c r="AN213" s="326"/>
    </row>
    <row r="214" spans="1:40" x14ac:dyDescent="0.15">
      <c r="A214" s="319"/>
      <c r="B214" s="320"/>
      <c r="C214" s="320"/>
      <c r="D214" s="320"/>
      <c r="E214" s="320"/>
      <c r="F214" s="320"/>
      <c r="G214" s="320"/>
      <c r="H214" s="320"/>
      <c r="I214" s="320"/>
      <c r="J214" s="320"/>
      <c r="K214" s="320"/>
      <c r="L214" s="320"/>
      <c r="M214" s="320"/>
      <c r="N214" s="320"/>
      <c r="O214" s="321"/>
      <c r="P214" s="321"/>
      <c r="Y214" s="326"/>
      <c r="Z214" s="326"/>
      <c r="AB214" s="326"/>
      <c r="AC214" s="326"/>
      <c r="AD214" s="326"/>
      <c r="AG214" s="326"/>
      <c r="AH214" s="326"/>
      <c r="AI214" s="326"/>
      <c r="AL214" s="326"/>
      <c r="AM214" s="326"/>
      <c r="AN214" s="326"/>
    </row>
    <row r="215" spans="1:40" x14ac:dyDescent="0.15">
      <c r="A215" s="319"/>
      <c r="B215" s="320"/>
      <c r="C215" s="320"/>
      <c r="D215" s="320"/>
      <c r="E215" s="320"/>
      <c r="F215" s="320"/>
      <c r="G215" s="320"/>
      <c r="H215" s="320"/>
      <c r="I215" s="320"/>
      <c r="J215" s="320"/>
      <c r="K215" s="320"/>
      <c r="L215" s="320"/>
      <c r="M215" s="320"/>
      <c r="N215" s="320"/>
      <c r="O215" s="321"/>
      <c r="P215" s="321"/>
      <c r="Y215" s="326"/>
      <c r="Z215" s="326"/>
      <c r="AB215" s="326"/>
      <c r="AC215" s="326"/>
      <c r="AD215" s="326"/>
      <c r="AG215" s="326"/>
      <c r="AH215" s="326"/>
      <c r="AI215" s="326"/>
      <c r="AL215" s="326"/>
      <c r="AM215" s="326"/>
      <c r="AN215" s="326"/>
    </row>
    <row r="216" spans="1:40" x14ac:dyDescent="0.15">
      <c r="A216" s="319"/>
      <c r="B216" s="320"/>
      <c r="C216" s="320"/>
      <c r="D216" s="320"/>
      <c r="E216" s="320"/>
      <c r="F216" s="320"/>
      <c r="G216" s="320"/>
      <c r="H216" s="320"/>
      <c r="I216" s="320"/>
      <c r="J216" s="320"/>
      <c r="K216" s="320"/>
      <c r="L216" s="320"/>
      <c r="M216" s="320"/>
      <c r="N216" s="320"/>
      <c r="O216" s="321"/>
      <c r="P216" s="321"/>
      <c r="Y216" s="326"/>
      <c r="Z216" s="326"/>
      <c r="AB216" s="326"/>
      <c r="AC216" s="326"/>
      <c r="AD216" s="326"/>
      <c r="AG216" s="326"/>
      <c r="AH216" s="326"/>
      <c r="AI216" s="326"/>
      <c r="AL216" s="326"/>
      <c r="AM216" s="326"/>
      <c r="AN216" s="326"/>
    </row>
    <row r="217" spans="1:40" x14ac:dyDescent="0.15">
      <c r="A217" s="319"/>
      <c r="B217" s="320"/>
      <c r="C217" s="320"/>
      <c r="D217" s="320"/>
      <c r="E217" s="320"/>
      <c r="F217" s="320"/>
      <c r="G217" s="320"/>
      <c r="H217" s="320"/>
      <c r="I217" s="320"/>
      <c r="J217" s="320"/>
      <c r="K217" s="320"/>
      <c r="L217" s="320"/>
      <c r="M217" s="320"/>
      <c r="N217" s="320"/>
      <c r="O217" s="321"/>
      <c r="P217" s="321"/>
      <c r="Y217" s="326"/>
      <c r="Z217" s="326"/>
      <c r="AB217" s="326"/>
      <c r="AC217" s="326"/>
      <c r="AD217" s="326"/>
      <c r="AG217" s="326"/>
      <c r="AH217" s="326"/>
      <c r="AI217" s="326"/>
      <c r="AL217" s="326"/>
      <c r="AM217" s="326"/>
      <c r="AN217" s="326"/>
    </row>
    <row r="218" spans="1:40" x14ac:dyDescent="0.15">
      <c r="A218" s="319"/>
      <c r="B218" s="320"/>
      <c r="C218" s="320"/>
      <c r="D218" s="320"/>
      <c r="E218" s="320"/>
      <c r="F218" s="320"/>
      <c r="G218" s="320"/>
      <c r="H218" s="320"/>
      <c r="I218" s="320"/>
      <c r="J218" s="320"/>
      <c r="K218" s="320"/>
      <c r="L218" s="320"/>
      <c r="M218" s="320"/>
      <c r="N218" s="320"/>
      <c r="O218" s="321"/>
      <c r="P218" s="321"/>
      <c r="Y218" s="326"/>
      <c r="Z218" s="326"/>
      <c r="AA218" s="326"/>
      <c r="AB218" s="326"/>
      <c r="AC218" s="326"/>
      <c r="AD218" s="326"/>
      <c r="AG218" s="326"/>
      <c r="AH218" s="326"/>
      <c r="AI218" s="326"/>
      <c r="AL218" s="326"/>
      <c r="AM218" s="326"/>
      <c r="AN218" s="326"/>
    </row>
    <row r="219" spans="1:40" x14ac:dyDescent="0.15">
      <c r="A219" s="319"/>
      <c r="B219" s="320"/>
      <c r="C219" s="320"/>
      <c r="D219" s="320"/>
      <c r="E219" s="320"/>
      <c r="F219" s="320"/>
      <c r="G219" s="320"/>
      <c r="H219" s="320"/>
      <c r="I219" s="320"/>
      <c r="J219" s="320"/>
      <c r="K219" s="320"/>
      <c r="L219" s="320"/>
      <c r="M219" s="320"/>
      <c r="N219" s="320"/>
      <c r="O219" s="321"/>
      <c r="P219" s="321"/>
      <c r="Y219" s="326"/>
      <c r="Z219" s="326"/>
      <c r="AB219" s="326"/>
      <c r="AC219" s="326"/>
      <c r="AD219" s="326"/>
      <c r="AG219" s="326"/>
      <c r="AH219" s="326"/>
      <c r="AI219" s="326"/>
      <c r="AL219" s="326"/>
      <c r="AM219" s="326"/>
      <c r="AN219" s="326"/>
    </row>
    <row r="220" spans="1:40" x14ac:dyDescent="0.15">
      <c r="A220" s="319"/>
      <c r="B220" s="320"/>
      <c r="C220" s="320"/>
      <c r="D220" s="320"/>
      <c r="E220" s="320"/>
      <c r="F220" s="320"/>
      <c r="G220" s="320"/>
      <c r="H220" s="320"/>
      <c r="I220" s="320"/>
      <c r="J220" s="320"/>
      <c r="K220" s="320"/>
      <c r="L220" s="320"/>
      <c r="M220" s="320"/>
      <c r="N220" s="320"/>
      <c r="O220" s="321"/>
      <c r="P220" s="321"/>
      <c r="Y220" s="326"/>
      <c r="Z220" s="326"/>
      <c r="AA220" s="326"/>
      <c r="AB220" s="326"/>
      <c r="AC220" s="326"/>
      <c r="AD220" s="326"/>
      <c r="AG220" s="326"/>
      <c r="AH220" s="326"/>
      <c r="AI220" s="326"/>
      <c r="AL220" s="326"/>
      <c r="AM220" s="326"/>
      <c r="AN220" s="326"/>
    </row>
    <row r="221" spans="1:40" x14ac:dyDescent="0.15">
      <c r="A221" s="319"/>
      <c r="B221" s="320"/>
      <c r="C221" s="320"/>
      <c r="D221" s="320"/>
      <c r="E221" s="320"/>
      <c r="F221" s="320"/>
      <c r="G221" s="320"/>
      <c r="H221" s="320"/>
      <c r="I221" s="320"/>
      <c r="J221" s="320"/>
      <c r="K221" s="320"/>
      <c r="L221" s="320"/>
      <c r="M221" s="320"/>
      <c r="N221" s="320"/>
      <c r="O221" s="321"/>
      <c r="P221" s="321"/>
      <c r="Y221" s="326"/>
      <c r="Z221" s="326"/>
      <c r="AB221" s="326"/>
      <c r="AC221" s="326"/>
      <c r="AD221" s="326"/>
      <c r="AG221" s="326"/>
      <c r="AH221" s="326"/>
      <c r="AI221" s="326"/>
      <c r="AL221" s="326"/>
      <c r="AM221" s="326"/>
      <c r="AN221" s="326"/>
    </row>
    <row r="222" spans="1:40" x14ac:dyDescent="0.15">
      <c r="A222" s="319"/>
      <c r="B222" s="320"/>
      <c r="C222" s="320"/>
      <c r="D222" s="320"/>
      <c r="E222" s="320"/>
      <c r="F222" s="320"/>
      <c r="G222" s="320"/>
      <c r="H222" s="320"/>
      <c r="I222" s="320"/>
      <c r="J222" s="320"/>
      <c r="K222" s="320"/>
      <c r="L222" s="320"/>
      <c r="M222" s="320"/>
      <c r="N222" s="320"/>
      <c r="O222" s="321"/>
      <c r="P222" s="321"/>
      <c r="Y222" s="326"/>
      <c r="Z222" s="326"/>
      <c r="AB222" s="326"/>
      <c r="AC222" s="326"/>
      <c r="AD222" s="326"/>
      <c r="AG222" s="326"/>
      <c r="AH222" s="326"/>
      <c r="AI222" s="326"/>
      <c r="AL222" s="326"/>
      <c r="AM222" s="326"/>
      <c r="AN222" s="326"/>
    </row>
    <row r="223" spans="1:40" x14ac:dyDescent="0.15">
      <c r="A223" s="319"/>
      <c r="B223" s="320"/>
      <c r="C223" s="320"/>
      <c r="D223" s="320"/>
      <c r="E223" s="320"/>
      <c r="F223" s="320"/>
      <c r="G223" s="320"/>
      <c r="H223" s="320"/>
      <c r="I223" s="320"/>
      <c r="J223" s="320"/>
      <c r="K223" s="320"/>
      <c r="L223" s="320"/>
      <c r="M223" s="320"/>
      <c r="N223" s="320"/>
      <c r="O223" s="321"/>
      <c r="P223" s="321"/>
      <c r="Y223" s="326"/>
      <c r="Z223" s="326"/>
      <c r="AB223" s="326"/>
      <c r="AC223" s="326"/>
      <c r="AD223" s="326"/>
      <c r="AG223" s="326"/>
      <c r="AH223" s="326"/>
      <c r="AI223" s="326"/>
      <c r="AL223" s="326"/>
      <c r="AM223" s="326"/>
      <c r="AN223" s="326"/>
    </row>
    <row r="224" spans="1:40" x14ac:dyDescent="0.15">
      <c r="A224" s="319"/>
      <c r="B224" s="320"/>
      <c r="C224" s="320"/>
      <c r="D224" s="320"/>
      <c r="E224" s="320"/>
      <c r="F224" s="320"/>
      <c r="G224" s="320"/>
      <c r="H224" s="320"/>
      <c r="I224" s="320"/>
      <c r="J224" s="320"/>
      <c r="K224" s="320"/>
      <c r="L224" s="320"/>
      <c r="M224" s="320"/>
      <c r="N224" s="320"/>
      <c r="O224" s="321"/>
      <c r="P224" s="321"/>
      <c r="Y224" s="326"/>
      <c r="Z224" s="326"/>
      <c r="AA224" s="326"/>
      <c r="AB224" s="326"/>
      <c r="AC224" s="326"/>
      <c r="AD224" s="326"/>
      <c r="AG224" s="326"/>
      <c r="AH224" s="326"/>
      <c r="AI224" s="326"/>
      <c r="AL224" s="326"/>
      <c r="AM224" s="326"/>
      <c r="AN224" s="326"/>
    </row>
    <row r="225" spans="1:40" x14ac:dyDescent="0.15">
      <c r="A225" s="319"/>
      <c r="B225" s="320"/>
      <c r="C225" s="320"/>
      <c r="D225" s="320"/>
      <c r="E225" s="320"/>
      <c r="F225" s="320"/>
      <c r="G225" s="320"/>
      <c r="H225" s="320"/>
      <c r="I225" s="320"/>
      <c r="J225" s="320"/>
      <c r="K225" s="320"/>
      <c r="L225" s="320"/>
      <c r="M225" s="320"/>
      <c r="N225" s="320"/>
      <c r="O225" s="321"/>
      <c r="P225" s="321"/>
      <c r="Y225" s="326"/>
      <c r="Z225" s="326"/>
      <c r="AA225" s="326"/>
      <c r="AB225" s="326"/>
      <c r="AC225" s="326"/>
      <c r="AD225" s="326"/>
      <c r="AG225" s="326"/>
      <c r="AH225" s="326"/>
      <c r="AI225" s="326"/>
      <c r="AL225" s="326"/>
      <c r="AM225" s="326"/>
      <c r="AN225" s="326"/>
    </row>
    <row r="226" spans="1:40" x14ac:dyDescent="0.15">
      <c r="A226" s="319"/>
      <c r="B226" s="320"/>
      <c r="C226" s="320"/>
      <c r="D226" s="320"/>
      <c r="E226" s="320"/>
      <c r="F226" s="320"/>
      <c r="G226" s="320"/>
      <c r="H226" s="320"/>
      <c r="I226" s="320"/>
      <c r="J226" s="320"/>
      <c r="K226" s="320"/>
      <c r="L226" s="320"/>
      <c r="M226" s="320"/>
      <c r="N226" s="320"/>
      <c r="O226" s="321"/>
      <c r="P226" s="321"/>
      <c r="Y226" s="326"/>
      <c r="Z226" s="326"/>
      <c r="AB226" s="326"/>
      <c r="AC226" s="326"/>
      <c r="AD226" s="326"/>
      <c r="AG226" s="326"/>
      <c r="AH226" s="326"/>
      <c r="AI226" s="326"/>
      <c r="AL226" s="326"/>
      <c r="AM226" s="326"/>
      <c r="AN226" s="326"/>
    </row>
    <row r="227" spans="1:40" x14ac:dyDescent="0.15">
      <c r="A227" s="319"/>
      <c r="B227" s="320"/>
      <c r="C227" s="320"/>
      <c r="D227" s="320"/>
      <c r="E227" s="320"/>
      <c r="F227" s="320"/>
      <c r="G227" s="320"/>
      <c r="H227" s="320"/>
      <c r="I227" s="320"/>
      <c r="J227" s="320"/>
      <c r="K227" s="320"/>
      <c r="L227" s="320"/>
      <c r="M227" s="320"/>
      <c r="N227" s="320"/>
      <c r="O227" s="321"/>
      <c r="P227" s="321"/>
      <c r="Y227" s="326"/>
      <c r="Z227" s="326"/>
      <c r="AA227" s="326"/>
      <c r="AB227" s="326"/>
      <c r="AC227" s="326"/>
      <c r="AD227" s="326"/>
      <c r="AG227" s="326"/>
      <c r="AH227" s="326"/>
      <c r="AI227" s="326"/>
      <c r="AL227" s="326"/>
      <c r="AM227" s="326"/>
      <c r="AN227" s="326"/>
    </row>
    <row r="228" spans="1:40" x14ac:dyDescent="0.15">
      <c r="A228" s="319"/>
      <c r="B228" s="320"/>
      <c r="C228" s="320"/>
      <c r="D228" s="320"/>
      <c r="E228" s="320"/>
      <c r="F228" s="320"/>
      <c r="G228" s="320"/>
      <c r="H228" s="320"/>
      <c r="I228" s="320"/>
      <c r="J228" s="320"/>
      <c r="K228" s="320"/>
      <c r="L228" s="320"/>
      <c r="M228" s="320"/>
      <c r="N228" s="320"/>
      <c r="O228" s="321"/>
      <c r="P228" s="321"/>
      <c r="Y228" s="326"/>
      <c r="Z228" s="326"/>
      <c r="AA228" s="326"/>
      <c r="AB228" s="326"/>
      <c r="AC228" s="326"/>
      <c r="AD228" s="326"/>
      <c r="AG228" s="326"/>
      <c r="AH228" s="326"/>
      <c r="AI228" s="326"/>
      <c r="AL228" s="326"/>
      <c r="AM228" s="326"/>
      <c r="AN228" s="326"/>
    </row>
    <row r="229" spans="1:40" x14ac:dyDescent="0.15">
      <c r="A229" s="319"/>
      <c r="B229" s="320"/>
      <c r="C229" s="320"/>
      <c r="D229" s="320"/>
      <c r="E229" s="320"/>
      <c r="F229" s="320"/>
      <c r="G229" s="320"/>
      <c r="H229" s="320"/>
      <c r="I229" s="320"/>
      <c r="J229" s="320"/>
      <c r="K229" s="320"/>
      <c r="L229" s="320"/>
      <c r="M229" s="320"/>
      <c r="N229" s="320"/>
      <c r="O229" s="321"/>
      <c r="P229" s="321"/>
      <c r="Y229" s="326"/>
      <c r="Z229" s="326"/>
      <c r="AA229" s="326"/>
      <c r="AB229" s="326"/>
      <c r="AC229" s="326"/>
      <c r="AD229" s="326"/>
      <c r="AG229" s="326"/>
      <c r="AH229" s="326"/>
      <c r="AI229" s="326"/>
      <c r="AL229" s="326"/>
      <c r="AM229" s="326"/>
      <c r="AN229" s="326"/>
    </row>
    <row r="230" spans="1:40" x14ac:dyDescent="0.15">
      <c r="A230" s="319"/>
      <c r="B230" s="320"/>
      <c r="C230" s="320"/>
      <c r="D230" s="320"/>
      <c r="E230" s="320"/>
      <c r="F230" s="320"/>
      <c r="G230" s="320"/>
      <c r="H230" s="320"/>
      <c r="I230" s="320"/>
      <c r="J230" s="320"/>
      <c r="K230" s="320"/>
      <c r="L230" s="320"/>
      <c r="M230" s="320"/>
      <c r="N230" s="320"/>
      <c r="O230" s="321"/>
      <c r="P230" s="321"/>
      <c r="Y230" s="326"/>
      <c r="Z230" s="326"/>
      <c r="AA230" s="326"/>
      <c r="AB230" s="326"/>
      <c r="AC230" s="326"/>
      <c r="AD230" s="326"/>
      <c r="AG230" s="326"/>
      <c r="AH230" s="326"/>
      <c r="AI230" s="326"/>
      <c r="AL230" s="326"/>
      <c r="AM230" s="326"/>
      <c r="AN230" s="326"/>
    </row>
    <row r="231" spans="1:40" x14ac:dyDescent="0.15">
      <c r="A231" s="319"/>
      <c r="B231" s="320"/>
      <c r="C231" s="320"/>
      <c r="D231" s="320"/>
      <c r="E231" s="320"/>
      <c r="F231" s="320"/>
      <c r="G231" s="320"/>
      <c r="H231" s="320"/>
      <c r="I231" s="320"/>
      <c r="J231" s="320"/>
      <c r="K231" s="320"/>
      <c r="L231" s="320"/>
      <c r="M231" s="320"/>
      <c r="N231" s="320"/>
      <c r="O231" s="321"/>
      <c r="P231" s="321"/>
      <c r="Y231" s="326"/>
      <c r="Z231" s="326"/>
      <c r="AA231" s="326"/>
      <c r="AB231" s="326"/>
      <c r="AC231" s="326"/>
      <c r="AD231" s="326"/>
      <c r="AG231" s="326"/>
      <c r="AH231" s="326"/>
      <c r="AI231" s="326"/>
      <c r="AL231" s="326"/>
      <c r="AM231" s="326"/>
      <c r="AN231" s="326"/>
    </row>
    <row r="232" spans="1:40" x14ac:dyDescent="0.15">
      <c r="A232" s="319"/>
      <c r="B232" s="320"/>
      <c r="C232" s="320"/>
      <c r="D232" s="320"/>
      <c r="E232" s="320"/>
      <c r="F232" s="320"/>
      <c r="G232" s="320"/>
      <c r="H232" s="320"/>
      <c r="I232" s="320"/>
      <c r="J232" s="320"/>
      <c r="K232" s="320"/>
      <c r="L232" s="320"/>
      <c r="M232" s="320"/>
      <c r="N232" s="320"/>
      <c r="O232" s="321"/>
      <c r="P232" s="321"/>
      <c r="Y232" s="326"/>
      <c r="Z232" s="326"/>
      <c r="AA232" s="326"/>
      <c r="AB232" s="326"/>
      <c r="AC232" s="326"/>
      <c r="AD232" s="326"/>
      <c r="AG232" s="326"/>
      <c r="AH232" s="326"/>
      <c r="AI232" s="326"/>
      <c r="AL232" s="326"/>
      <c r="AM232" s="326"/>
      <c r="AN232" s="326"/>
    </row>
    <row r="233" spans="1:40" x14ac:dyDescent="0.15">
      <c r="A233" s="319"/>
      <c r="B233" s="320"/>
      <c r="C233" s="320"/>
      <c r="D233" s="320"/>
      <c r="E233" s="320"/>
      <c r="F233" s="320"/>
      <c r="G233" s="320"/>
      <c r="H233" s="320"/>
      <c r="I233" s="320"/>
      <c r="J233" s="320"/>
      <c r="K233" s="320"/>
      <c r="L233" s="320"/>
      <c r="M233" s="320"/>
      <c r="N233" s="320"/>
      <c r="O233" s="321"/>
      <c r="P233" s="321"/>
      <c r="Y233" s="326"/>
      <c r="Z233" s="326"/>
      <c r="AA233" s="326"/>
      <c r="AB233" s="326"/>
      <c r="AC233" s="326"/>
      <c r="AD233" s="326"/>
      <c r="AG233" s="326"/>
      <c r="AH233" s="326"/>
      <c r="AI233" s="326"/>
      <c r="AL233" s="326"/>
      <c r="AM233" s="326"/>
      <c r="AN233" s="326"/>
    </row>
    <row r="234" spans="1:40" x14ac:dyDescent="0.15">
      <c r="A234" s="319"/>
      <c r="B234" s="320"/>
      <c r="C234" s="320"/>
      <c r="D234" s="320"/>
      <c r="E234" s="320"/>
      <c r="F234" s="320"/>
      <c r="G234" s="320"/>
      <c r="H234" s="320"/>
      <c r="I234" s="320"/>
      <c r="J234" s="320"/>
      <c r="K234" s="320"/>
      <c r="L234" s="320"/>
      <c r="M234" s="320"/>
      <c r="N234" s="320"/>
      <c r="O234" s="321"/>
      <c r="P234" s="321"/>
      <c r="Y234" s="326"/>
      <c r="Z234" s="326"/>
      <c r="AA234" s="326"/>
      <c r="AB234" s="326"/>
      <c r="AC234" s="326"/>
      <c r="AD234" s="326"/>
      <c r="AG234" s="326"/>
      <c r="AH234" s="326"/>
      <c r="AI234" s="326"/>
      <c r="AL234" s="326"/>
      <c r="AM234" s="326"/>
      <c r="AN234" s="326"/>
    </row>
    <row r="235" spans="1:40" x14ac:dyDescent="0.15">
      <c r="A235" s="319"/>
      <c r="B235" s="320"/>
      <c r="C235" s="320"/>
      <c r="D235" s="320"/>
      <c r="E235" s="320"/>
      <c r="F235" s="320"/>
      <c r="G235" s="320"/>
      <c r="H235" s="320"/>
      <c r="I235" s="320"/>
      <c r="J235" s="320"/>
      <c r="K235" s="320"/>
      <c r="L235" s="320"/>
      <c r="M235" s="320"/>
      <c r="N235" s="320"/>
      <c r="O235" s="321"/>
      <c r="P235" s="321"/>
      <c r="Y235" s="326"/>
      <c r="Z235" s="326"/>
      <c r="AA235" s="326"/>
      <c r="AB235" s="326"/>
      <c r="AC235" s="326"/>
      <c r="AD235" s="326"/>
      <c r="AG235" s="326"/>
      <c r="AH235" s="326"/>
      <c r="AI235" s="326"/>
      <c r="AL235" s="326"/>
      <c r="AM235" s="326"/>
      <c r="AN235" s="326"/>
    </row>
    <row r="236" spans="1:40" x14ac:dyDescent="0.15">
      <c r="A236" s="319"/>
      <c r="B236" s="320"/>
      <c r="C236" s="320"/>
      <c r="D236" s="320"/>
      <c r="E236" s="320"/>
      <c r="F236" s="320"/>
      <c r="G236" s="320"/>
      <c r="H236" s="320"/>
      <c r="I236" s="320"/>
      <c r="J236" s="320"/>
      <c r="K236" s="320"/>
      <c r="L236" s="320"/>
      <c r="M236" s="320"/>
      <c r="N236" s="320"/>
      <c r="O236" s="321"/>
      <c r="P236" s="321"/>
      <c r="Y236" s="326"/>
      <c r="Z236" s="326"/>
      <c r="AB236" s="326"/>
      <c r="AC236" s="326"/>
      <c r="AD236" s="326"/>
      <c r="AG236" s="326"/>
      <c r="AH236" s="326"/>
      <c r="AI236" s="326"/>
      <c r="AL236" s="326"/>
      <c r="AM236" s="326"/>
      <c r="AN236" s="326"/>
    </row>
    <row r="237" spans="1:40" x14ac:dyDescent="0.15">
      <c r="A237" s="319"/>
      <c r="B237" s="320"/>
      <c r="C237" s="320"/>
      <c r="D237" s="320"/>
      <c r="E237" s="320"/>
      <c r="F237" s="320"/>
      <c r="G237" s="320"/>
      <c r="H237" s="320"/>
      <c r="I237" s="320"/>
      <c r="J237" s="320"/>
      <c r="K237" s="320"/>
      <c r="L237" s="320"/>
      <c r="M237" s="320"/>
      <c r="N237" s="320"/>
      <c r="O237" s="321"/>
      <c r="P237" s="321"/>
      <c r="Y237" s="326"/>
      <c r="Z237" s="326"/>
      <c r="AA237" s="326"/>
      <c r="AB237" s="326"/>
      <c r="AC237" s="326"/>
      <c r="AD237" s="326"/>
      <c r="AG237" s="326"/>
      <c r="AH237" s="326"/>
      <c r="AI237" s="326"/>
      <c r="AL237" s="326"/>
      <c r="AM237" s="326"/>
      <c r="AN237" s="326"/>
    </row>
    <row r="238" spans="1:40" x14ac:dyDescent="0.15">
      <c r="A238" s="319"/>
      <c r="B238" s="320"/>
      <c r="C238" s="320"/>
      <c r="D238" s="320"/>
      <c r="E238" s="320"/>
      <c r="F238" s="320"/>
      <c r="G238" s="320"/>
      <c r="H238" s="320"/>
      <c r="I238" s="320"/>
      <c r="J238" s="320"/>
      <c r="K238" s="320"/>
      <c r="L238" s="320"/>
      <c r="M238" s="320"/>
      <c r="N238" s="320"/>
      <c r="O238" s="321"/>
      <c r="P238" s="321"/>
      <c r="Y238" s="326"/>
      <c r="Z238" s="326"/>
      <c r="AB238" s="326"/>
      <c r="AC238" s="326"/>
      <c r="AD238" s="326"/>
      <c r="AG238" s="326"/>
      <c r="AH238" s="326"/>
      <c r="AI238" s="326"/>
      <c r="AL238" s="326"/>
      <c r="AM238" s="326"/>
      <c r="AN238" s="326"/>
    </row>
    <row r="239" spans="1:40" x14ac:dyDescent="0.15">
      <c r="A239" s="319"/>
      <c r="B239" s="320"/>
      <c r="C239" s="320"/>
      <c r="D239" s="320"/>
      <c r="E239" s="320"/>
      <c r="F239" s="320"/>
      <c r="G239" s="320"/>
      <c r="H239" s="320"/>
      <c r="I239" s="320"/>
      <c r="J239" s="320"/>
      <c r="K239" s="320"/>
      <c r="L239" s="320"/>
      <c r="M239" s="320"/>
      <c r="N239" s="320"/>
      <c r="O239" s="321"/>
      <c r="P239" s="321"/>
      <c r="Y239" s="326"/>
      <c r="Z239" s="326"/>
      <c r="AA239" s="326"/>
      <c r="AB239" s="326"/>
      <c r="AC239" s="326"/>
      <c r="AD239" s="326"/>
      <c r="AG239" s="326"/>
      <c r="AH239" s="326"/>
      <c r="AI239" s="326"/>
      <c r="AL239" s="326"/>
      <c r="AM239" s="326"/>
      <c r="AN239" s="326"/>
    </row>
    <row r="240" spans="1:40" x14ac:dyDescent="0.15">
      <c r="A240" s="319"/>
      <c r="B240" s="320"/>
      <c r="C240" s="320"/>
      <c r="D240" s="320"/>
      <c r="E240" s="320"/>
      <c r="F240" s="320"/>
      <c r="G240" s="320"/>
      <c r="H240" s="320"/>
      <c r="I240" s="320"/>
      <c r="J240" s="320"/>
      <c r="K240" s="320"/>
      <c r="L240" s="320"/>
      <c r="M240" s="320"/>
      <c r="N240" s="320"/>
      <c r="O240" s="321"/>
      <c r="P240" s="321"/>
      <c r="Y240" s="326"/>
      <c r="Z240" s="326"/>
      <c r="AB240" s="326"/>
      <c r="AC240" s="326"/>
      <c r="AD240" s="326"/>
      <c r="AG240" s="326"/>
      <c r="AH240" s="326"/>
      <c r="AI240" s="326"/>
      <c r="AL240" s="326"/>
      <c r="AM240" s="326"/>
      <c r="AN240" s="326"/>
    </row>
    <row r="241" spans="1:40" x14ac:dyDescent="0.15">
      <c r="A241" s="319"/>
      <c r="B241" s="320"/>
      <c r="C241" s="320"/>
      <c r="D241" s="320"/>
      <c r="E241" s="320"/>
      <c r="F241" s="320"/>
      <c r="G241" s="320"/>
      <c r="H241" s="320"/>
      <c r="I241" s="320"/>
      <c r="J241" s="320"/>
      <c r="K241" s="320"/>
      <c r="L241" s="320"/>
      <c r="M241" s="320"/>
      <c r="N241" s="320"/>
      <c r="O241" s="321"/>
      <c r="P241" s="321"/>
      <c r="Y241" s="326"/>
      <c r="Z241" s="326"/>
      <c r="AA241" s="326"/>
      <c r="AB241" s="326"/>
      <c r="AC241" s="326"/>
      <c r="AD241" s="326"/>
      <c r="AG241" s="326"/>
      <c r="AH241" s="326"/>
      <c r="AI241" s="326"/>
      <c r="AL241" s="326"/>
      <c r="AM241" s="326"/>
      <c r="AN241" s="326"/>
    </row>
    <row r="242" spans="1:40" x14ac:dyDescent="0.15">
      <c r="A242" s="319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1"/>
      <c r="P242" s="321"/>
      <c r="Y242" s="326"/>
      <c r="Z242" s="326"/>
      <c r="AA242" s="326"/>
      <c r="AB242" s="326"/>
      <c r="AC242" s="326"/>
      <c r="AD242" s="326"/>
      <c r="AG242" s="326"/>
      <c r="AH242" s="326"/>
      <c r="AI242" s="326"/>
      <c r="AL242" s="326"/>
      <c r="AM242" s="326"/>
      <c r="AN242" s="326"/>
    </row>
    <row r="243" spans="1:40" x14ac:dyDescent="0.15">
      <c r="A243" s="319"/>
      <c r="B243" s="320"/>
      <c r="C243" s="320"/>
      <c r="D243" s="320"/>
      <c r="E243" s="320"/>
      <c r="F243" s="320"/>
      <c r="G243" s="320"/>
      <c r="H243" s="320"/>
      <c r="I243" s="320"/>
      <c r="J243" s="320"/>
      <c r="K243" s="320"/>
      <c r="L243" s="320"/>
      <c r="M243" s="320"/>
      <c r="N243" s="320"/>
      <c r="O243" s="321"/>
      <c r="P243" s="321"/>
      <c r="Y243" s="326"/>
      <c r="Z243" s="326"/>
      <c r="AA243" s="326"/>
      <c r="AB243" s="326"/>
      <c r="AC243" s="326"/>
      <c r="AD243" s="326"/>
      <c r="AG243" s="326"/>
      <c r="AH243" s="326"/>
      <c r="AI243" s="326"/>
      <c r="AL243" s="326"/>
      <c r="AM243" s="326"/>
      <c r="AN243" s="326"/>
    </row>
    <row r="244" spans="1:40" x14ac:dyDescent="0.15">
      <c r="A244" s="319"/>
      <c r="B244" s="320"/>
      <c r="C244" s="320"/>
      <c r="D244" s="320"/>
      <c r="E244" s="320"/>
      <c r="F244" s="320"/>
      <c r="G244" s="320"/>
      <c r="H244" s="320"/>
      <c r="I244" s="320"/>
      <c r="J244" s="320"/>
      <c r="K244" s="320"/>
      <c r="L244" s="320"/>
      <c r="M244" s="320"/>
      <c r="N244" s="320"/>
      <c r="O244" s="321"/>
      <c r="P244" s="321"/>
      <c r="Y244" s="326"/>
      <c r="Z244" s="326"/>
      <c r="AA244" s="326"/>
      <c r="AB244" s="326"/>
      <c r="AC244" s="326"/>
      <c r="AD244" s="326"/>
      <c r="AG244" s="326"/>
      <c r="AH244" s="326"/>
      <c r="AI244" s="326"/>
      <c r="AL244" s="326"/>
      <c r="AM244" s="326"/>
      <c r="AN244" s="326"/>
    </row>
    <row r="245" spans="1:40" x14ac:dyDescent="0.15">
      <c r="A245" s="319"/>
      <c r="B245" s="320"/>
      <c r="C245" s="320"/>
      <c r="D245" s="320"/>
      <c r="E245" s="320"/>
      <c r="F245" s="320"/>
      <c r="G245" s="320"/>
      <c r="H245" s="320"/>
      <c r="I245" s="320"/>
      <c r="J245" s="320"/>
      <c r="K245" s="320"/>
      <c r="L245" s="320"/>
      <c r="M245" s="320"/>
      <c r="N245" s="320"/>
      <c r="O245" s="321"/>
      <c r="P245" s="321"/>
      <c r="Y245" s="326"/>
      <c r="Z245" s="326"/>
      <c r="AA245" s="326"/>
      <c r="AB245" s="326"/>
      <c r="AC245" s="326"/>
      <c r="AD245" s="326"/>
      <c r="AG245" s="326"/>
      <c r="AH245" s="326"/>
      <c r="AI245" s="326"/>
      <c r="AL245" s="326"/>
      <c r="AM245" s="326"/>
      <c r="AN245" s="326"/>
    </row>
    <row r="246" spans="1:40" x14ac:dyDescent="0.15">
      <c r="A246" s="318"/>
      <c r="B246" s="320"/>
      <c r="C246" s="320"/>
      <c r="D246" s="320"/>
      <c r="E246" s="320"/>
      <c r="F246" s="320"/>
      <c r="G246" s="320"/>
      <c r="H246" s="320"/>
      <c r="I246" s="320"/>
      <c r="J246" s="320"/>
      <c r="K246" s="320"/>
      <c r="L246" s="320"/>
      <c r="M246" s="320"/>
      <c r="N246" s="320"/>
      <c r="O246" s="321"/>
      <c r="P246" s="321"/>
      <c r="Y246" s="326"/>
      <c r="Z246" s="326"/>
      <c r="AA246" s="326"/>
      <c r="AB246" s="326"/>
      <c r="AC246" s="326"/>
      <c r="AD246" s="326"/>
      <c r="AG246" s="326"/>
      <c r="AH246" s="326"/>
      <c r="AI246" s="326"/>
      <c r="AL246" s="326"/>
      <c r="AM246" s="326"/>
      <c r="AN246" s="326"/>
    </row>
    <row r="247" spans="1:40" x14ac:dyDescent="0.15">
      <c r="A247" s="318"/>
      <c r="B247" s="320"/>
      <c r="C247" s="320"/>
      <c r="D247" s="320"/>
      <c r="E247" s="320"/>
      <c r="F247" s="320"/>
      <c r="G247" s="320"/>
      <c r="H247" s="320"/>
      <c r="I247" s="320"/>
      <c r="J247" s="320"/>
      <c r="K247" s="320"/>
      <c r="L247" s="320"/>
      <c r="M247" s="320"/>
      <c r="N247" s="320"/>
      <c r="O247" s="321"/>
      <c r="P247" s="321"/>
      <c r="Y247" s="326"/>
      <c r="Z247" s="326"/>
      <c r="AA247" s="326"/>
      <c r="AB247" s="326"/>
      <c r="AC247" s="326"/>
      <c r="AD247" s="326"/>
      <c r="AG247" s="326"/>
      <c r="AH247" s="326"/>
      <c r="AI247" s="326"/>
      <c r="AL247" s="326"/>
      <c r="AM247" s="326"/>
      <c r="AN247" s="326"/>
    </row>
    <row r="248" spans="1:40" x14ac:dyDescent="0.15">
      <c r="A248" s="318"/>
      <c r="B248" s="320"/>
      <c r="C248" s="320"/>
      <c r="D248" s="320"/>
      <c r="E248" s="320"/>
      <c r="F248" s="320"/>
      <c r="G248" s="320"/>
      <c r="H248" s="320"/>
      <c r="I248" s="320"/>
      <c r="J248" s="320"/>
      <c r="K248" s="320"/>
      <c r="L248" s="320"/>
      <c r="M248" s="320"/>
      <c r="N248" s="320"/>
      <c r="O248" s="321"/>
      <c r="P248" s="321"/>
      <c r="Y248" s="326"/>
      <c r="Z248" s="326"/>
      <c r="AA248" s="326"/>
      <c r="AB248" s="326"/>
      <c r="AC248" s="326"/>
      <c r="AD248" s="326"/>
      <c r="AG248" s="326"/>
      <c r="AH248" s="326"/>
      <c r="AI248" s="326"/>
      <c r="AL248" s="326"/>
      <c r="AM248" s="326"/>
      <c r="AN248" s="326"/>
    </row>
    <row r="249" spans="1:40" x14ac:dyDescent="0.15">
      <c r="A249" s="318"/>
      <c r="B249" s="320"/>
      <c r="C249" s="320"/>
      <c r="D249" s="320"/>
      <c r="E249" s="320"/>
      <c r="F249" s="320"/>
      <c r="G249" s="320"/>
      <c r="H249" s="320"/>
      <c r="I249" s="320"/>
      <c r="J249" s="320"/>
      <c r="K249" s="320"/>
      <c r="L249" s="320"/>
      <c r="M249" s="320"/>
      <c r="N249" s="320"/>
      <c r="O249" s="321"/>
      <c r="P249" s="321"/>
      <c r="Y249" s="326"/>
      <c r="Z249" s="326"/>
      <c r="AA249" s="326"/>
      <c r="AB249" s="326"/>
      <c r="AC249" s="326"/>
      <c r="AD249" s="326"/>
      <c r="AG249" s="326"/>
      <c r="AH249" s="326"/>
      <c r="AI249" s="326"/>
      <c r="AL249" s="326"/>
      <c r="AM249" s="326"/>
      <c r="AN249" s="326"/>
    </row>
    <row r="250" spans="1:40" x14ac:dyDescent="0.15">
      <c r="A250" s="318"/>
      <c r="B250" s="320"/>
      <c r="C250" s="320"/>
      <c r="D250" s="320"/>
      <c r="E250" s="320"/>
      <c r="F250" s="320"/>
      <c r="G250" s="320"/>
      <c r="H250" s="320"/>
      <c r="I250" s="320"/>
      <c r="J250" s="320"/>
      <c r="K250" s="320"/>
      <c r="L250" s="320"/>
      <c r="M250" s="320"/>
      <c r="N250" s="320"/>
      <c r="O250" s="321"/>
      <c r="P250" s="321"/>
      <c r="Y250" s="326"/>
      <c r="Z250" s="326"/>
      <c r="AA250" s="326"/>
      <c r="AB250" s="326"/>
      <c r="AC250" s="326"/>
      <c r="AD250" s="326"/>
      <c r="AG250" s="326"/>
      <c r="AH250" s="326"/>
      <c r="AI250" s="326"/>
      <c r="AL250" s="326"/>
      <c r="AM250" s="326"/>
      <c r="AN250" s="326"/>
    </row>
    <row r="251" spans="1:40" x14ac:dyDescent="0.15">
      <c r="A251" s="318"/>
      <c r="B251" s="320"/>
      <c r="C251" s="320"/>
      <c r="D251" s="320"/>
      <c r="E251" s="320"/>
      <c r="F251" s="320"/>
      <c r="G251" s="320"/>
      <c r="H251" s="320"/>
      <c r="I251" s="320"/>
      <c r="J251" s="320"/>
      <c r="K251" s="320"/>
      <c r="L251" s="320"/>
      <c r="M251" s="320"/>
      <c r="N251" s="320"/>
      <c r="O251" s="321"/>
      <c r="P251" s="321"/>
      <c r="Y251" s="326"/>
      <c r="Z251" s="326"/>
      <c r="AA251" s="326"/>
      <c r="AB251" s="326"/>
      <c r="AC251" s="326"/>
      <c r="AD251" s="326"/>
      <c r="AG251" s="326"/>
      <c r="AH251" s="326"/>
      <c r="AI251" s="326"/>
      <c r="AL251" s="326"/>
      <c r="AM251" s="326"/>
      <c r="AN251" s="326"/>
    </row>
    <row r="252" spans="1:40" x14ac:dyDescent="0.15">
      <c r="A252" s="318"/>
      <c r="B252" s="320"/>
      <c r="C252" s="320"/>
      <c r="D252" s="320"/>
      <c r="E252" s="320"/>
      <c r="F252" s="320"/>
      <c r="G252" s="320"/>
      <c r="H252" s="320"/>
      <c r="I252" s="320"/>
      <c r="J252" s="320"/>
      <c r="K252" s="320"/>
      <c r="L252" s="320"/>
      <c r="M252" s="320"/>
      <c r="N252" s="320"/>
      <c r="O252" s="321"/>
      <c r="P252" s="321"/>
      <c r="Y252" s="326"/>
      <c r="Z252" s="326"/>
      <c r="AA252" s="326"/>
      <c r="AB252" s="326"/>
      <c r="AC252" s="326"/>
      <c r="AD252" s="326"/>
      <c r="AG252" s="326"/>
      <c r="AH252" s="326"/>
      <c r="AI252" s="326"/>
      <c r="AL252" s="326"/>
      <c r="AM252" s="326"/>
      <c r="AN252" s="326"/>
    </row>
    <row r="253" spans="1:40" x14ac:dyDescent="0.15">
      <c r="A253" s="318"/>
      <c r="B253" s="320"/>
      <c r="C253" s="320"/>
      <c r="D253" s="320"/>
      <c r="E253" s="320"/>
      <c r="F253" s="320"/>
      <c r="G253" s="320"/>
      <c r="H253" s="320"/>
      <c r="I253" s="320"/>
      <c r="J253" s="320"/>
      <c r="K253" s="320"/>
      <c r="L253" s="320"/>
      <c r="M253" s="320"/>
      <c r="N253" s="320"/>
      <c r="O253" s="321"/>
      <c r="P253" s="321"/>
      <c r="Y253" s="326"/>
      <c r="Z253" s="326"/>
      <c r="AA253" s="326"/>
      <c r="AB253" s="326"/>
      <c r="AC253" s="326"/>
      <c r="AD253" s="326"/>
      <c r="AG253" s="326"/>
      <c r="AH253" s="326"/>
      <c r="AI253" s="326"/>
      <c r="AL253" s="326"/>
      <c r="AM253" s="326"/>
      <c r="AN253" s="326"/>
    </row>
    <row r="254" spans="1:40" x14ac:dyDescent="0.15">
      <c r="A254" s="318"/>
      <c r="B254" s="320"/>
      <c r="C254" s="320"/>
      <c r="D254" s="320"/>
      <c r="E254" s="320"/>
      <c r="F254" s="320"/>
      <c r="G254" s="320"/>
      <c r="H254" s="320"/>
      <c r="I254" s="320"/>
      <c r="J254" s="320"/>
      <c r="K254" s="320"/>
      <c r="L254" s="320"/>
      <c r="M254" s="320"/>
      <c r="N254" s="320"/>
      <c r="O254" s="321"/>
      <c r="P254" s="321"/>
      <c r="Y254" s="326"/>
      <c r="Z254" s="326"/>
      <c r="AA254" s="326"/>
      <c r="AB254" s="326"/>
      <c r="AC254" s="326"/>
      <c r="AD254" s="326"/>
      <c r="AG254" s="326"/>
      <c r="AH254" s="326"/>
      <c r="AI254" s="326"/>
      <c r="AL254" s="326"/>
      <c r="AM254" s="326"/>
      <c r="AN254" s="326"/>
    </row>
    <row r="255" spans="1:40" x14ac:dyDescent="0.15">
      <c r="A255" s="318"/>
      <c r="B255" s="320"/>
      <c r="C255" s="320"/>
      <c r="D255" s="320"/>
      <c r="E255" s="320"/>
      <c r="F255" s="320"/>
      <c r="G255" s="320"/>
      <c r="H255" s="320"/>
      <c r="I255" s="320"/>
      <c r="J255" s="320"/>
      <c r="K255" s="320"/>
      <c r="L255" s="320"/>
      <c r="M255" s="320"/>
      <c r="N255" s="320"/>
      <c r="O255" s="321"/>
      <c r="P255" s="321"/>
      <c r="Y255" s="326"/>
      <c r="Z255" s="326"/>
      <c r="AA255" s="326"/>
      <c r="AB255" s="326"/>
      <c r="AC255" s="326"/>
      <c r="AD255" s="326"/>
      <c r="AG255" s="326"/>
      <c r="AH255" s="326"/>
      <c r="AI255" s="326"/>
      <c r="AL255" s="326"/>
      <c r="AM255" s="326"/>
      <c r="AN255" s="326"/>
    </row>
    <row r="256" spans="1:40" x14ac:dyDescent="0.15">
      <c r="A256" s="318"/>
      <c r="B256" s="320"/>
      <c r="C256" s="320"/>
      <c r="D256" s="320"/>
      <c r="E256" s="320"/>
      <c r="F256" s="320"/>
      <c r="G256" s="320"/>
      <c r="H256" s="320"/>
      <c r="I256" s="320"/>
      <c r="J256" s="320"/>
      <c r="K256" s="320"/>
      <c r="L256" s="320"/>
      <c r="M256" s="320"/>
      <c r="N256" s="320"/>
      <c r="O256" s="321"/>
      <c r="P256" s="321"/>
      <c r="Y256" s="326"/>
      <c r="Z256" s="326"/>
      <c r="AA256" s="326"/>
      <c r="AB256" s="326"/>
      <c r="AC256" s="326"/>
      <c r="AD256" s="326"/>
      <c r="AG256" s="326"/>
      <c r="AH256" s="326"/>
      <c r="AI256" s="326"/>
      <c r="AL256" s="326"/>
      <c r="AM256" s="326"/>
      <c r="AN256" s="326"/>
    </row>
    <row r="257" spans="1:40" x14ac:dyDescent="0.15">
      <c r="A257" s="318"/>
      <c r="B257" s="320"/>
      <c r="C257" s="320"/>
      <c r="D257" s="320"/>
      <c r="E257" s="320"/>
      <c r="F257" s="320"/>
      <c r="G257" s="320"/>
      <c r="H257" s="320"/>
      <c r="I257" s="320"/>
      <c r="J257" s="320"/>
      <c r="K257" s="320"/>
      <c r="L257" s="320"/>
      <c r="M257" s="320"/>
      <c r="N257" s="320"/>
      <c r="O257" s="321"/>
      <c r="P257" s="321"/>
      <c r="Y257" s="326"/>
      <c r="Z257" s="326"/>
      <c r="AA257" s="326"/>
      <c r="AB257" s="326"/>
      <c r="AC257" s="326"/>
      <c r="AD257" s="326"/>
      <c r="AG257" s="326"/>
      <c r="AH257" s="326"/>
      <c r="AI257" s="326"/>
      <c r="AL257" s="326"/>
      <c r="AM257" s="326"/>
      <c r="AN257" s="326"/>
    </row>
    <row r="258" spans="1:40" x14ac:dyDescent="0.15">
      <c r="A258" s="318"/>
      <c r="B258" s="320"/>
      <c r="C258" s="320"/>
      <c r="D258" s="320"/>
      <c r="E258" s="320"/>
      <c r="F258" s="320"/>
      <c r="G258" s="320"/>
      <c r="H258" s="320"/>
      <c r="I258" s="320"/>
      <c r="J258" s="320"/>
      <c r="K258" s="320"/>
      <c r="L258" s="320"/>
      <c r="M258" s="320"/>
      <c r="N258" s="320"/>
      <c r="O258" s="321"/>
      <c r="P258" s="321"/>
      <c r="Y258" s="326"/>
      <c r="Z258" s="326"/>
      <c r="AA258" s="326"/>
      <c r="AB258" s="326"/>
      <c r="AC258" s="326"/>
      <c r="AD258" s="326"/>
      <c r="AG258" s="326"/>
      <c r="AH258" s="326"/>
      <c r="AI258" s="326"/>
      <c r="AL258" s="326"/>
      <c r="AM258" s="326"/>
      <c r="AN258" s="326"/>
    </row>
    <row r="259" spans="1:40" x14ac:dyDescent="0.15">
      <c r="A259" s="318"/>
      <c r="B259" s="320"/>
      <c r="C259" s="320"/>
      <c r="D259" s="320"/>
      <c r="E259" s="320"/>
      <c r="F259" s="320"/>
      <c r="G259" s="320"/>
      <c r="H259" s="320"/>
      <c r="I259" s="320"/>
      <c r="J259" s="320"/>
      <c r="K259" s="320"/>
      <c r="L259" s="320"/>
      <c r="M259" s="320"/>
      <c r="N259" s="320"/>
      <c r="O259" s="321"/>
      <c r="P259" s="321"/>
      <c r="Y259" s="326"/>
      <c r="Z259" s="326"/>
      <c r="AA259" s="326"/>
      <c r="AB259" s="326"/>
      <c r="AC259" s="326"/>
      <c r="AD259" s="326"/>
      <c r="AG259" s="326"/>
      <c r="AH259" s="326"/>
      <c r="AI259" s="326"/>
      <c r="AL259" s="326"/>
      <c r="AM259" s="326"/>
      <c r="AN259" s="326"/>
    </row>
    <row r="260" spans="1:40" x14ac:dyDescent="0.15">
      <c r="A260" s="318"/>
      <c r="B260" s="320"/>
      <c r="C260" s="320"/>
      <c r="D260" s="320"/>
      <c r="E260" s="320"/>
      <c r="F260" s="320"/>
      <c r="G260" s="320"/>
      <c r="H260" s="320"/>
      <c r="I260" s="320"/>
      <c r="J260" s="320"/>
      <c r="K260" s="320"/>
      <c r="L260" s="320"/>
      <c r="M260" s="320"/>
      <c r="N260" s="320"/>
      <c r="O260" s="321"/>
      <c r="P260" s="321"/>
      <c r="Y260" s="326"/>
      <c r="Z260" s="326"/>
      <c r="AA260" s="326"/>
      <c r="AB260" s="326"/>
      <c r="AC260" s="326"/>
      <c r="AD260" s="326"/>
      <c r="AG260" s="326"/>
      <c r="AH260" s="326"/>
      <c r="AI260" s="326"/>
      <c r="AL260" s="326"/>
      <c r="AM260" s="326"/>
      <c r="AN260" s="326"/>
    </row>
    <row r="261" spans="1:40" x14ac:dyDescent="0.15">
      <c r="A261" s="318"/>
      <c r="B261" s="320"/>
      <c r="C261" s="320"/>
      <c r="D261" s="320"/>
      <c r="E261" s="320"/>
      <c r="F261" s="320"/>
      <c r="G261" s="320"/>
      <c r="H261" s="320"/>
      <c r="I261" s="320"/>
      <c r="J261" s="320"/>
      <c r="K261" s="320"/>
      <c r="L261" s="320"/>
      <c r="M261" s="320"/>
      <c r="N261" s="320"/>
      <c r="O261" s="321"/>
      <c r="P261" s="321"/>
      <c r="Y261" s="326"/>
      <c r="Z261" s="326"/>
      <c r="AA261" s="326"/>
      <c r="AB261" s="326"/>
      <c r="AC261" s="326"/>
      <c r="AD261" s="326"/>
      <c r="AG261" s="326"/>
      <c r="AH261" s="326"/>
      <c r="AI261" s="326"/>
      <c r="AL261" s="326"/>
      <c r="AM261" s="326"/>
      <c r="AN261" s="326"/>
    </row>
    <row r="262" spans="1:40" x14ac:dyDescent="0.15">
      <c r="A262" s="318"/>
      <c r="B262" s="320"/>
      <c r="C262" s="320"/>
      <c r="D262" s="320"/>
      <c r="E262" s="320"/>
      <c r="F262" s="320"/>
      <c r="G262" s="320"/>
      <c r="H262" s="320"/>
      <c r="I262" s="320"/>
      <c r="J262" s="320"/>
      <c r="K262" s="320"/>
      <c r="L262" s="320"/>
      <c r="M262" s="320"/>
      <c r="N262" s="320"/>
      <c r="O262" s="321"/>
      <c r="P262" s="321"/>
      <c r="Y262" s="326"/>
      <c r="Z262" s="326"/>
      <c r="AA262" s="326"/>
      <c r="AB262" s="326"/>
      <c r="AC262" s="326"/>
      <c r="AD262" s="326"/>
      <c r="AG262" s="326"/>
      <c r="AH262" s="326"/>
      <c r="AI262" s="326"/>
      <c r="AL262" s="326"/>
      <c r="AM262" s="326"/>
      <c r="AN262" s="326"/>
    </row>
    <row r="263" spans="1:40" x14ac:dyDescent="0.15">
      <c r="A263" s="318"/>
      <c r="B263" s="320"/>
      <c r="C263" s="320"/>
      <c r="D263" s="320"/>
      <c r="E263" s="320"/>
      <c r="F263" s="320"/>
      <c r="G263" s="320"/>
      <c r="H263" s="320"/>
      <c r="I263" s="320"/>
      <c r="J263" s="320"/>
      <c r="K263" s="320"/>
      <c r="L263" s="320"/>
      <c r="M263" s="320"/>
      <c r="N263" s="320"/>
      <c r="O263" s="321"/>
      <c r="P263" s="321"/>
      <c r="Y263" s="326"/>
      <c r="Z263" s="326"/>
      <c r="AA263" s="326"/>
      <c r="AB263" s="326"/>
      <c r="AC263" s="326"/>
      <c r="AD263" s="326"/>
      <c r="AG263" s="326"/>
      <c r="AH263" s="326"/>
      <c r="AI263" s="326"/>
      <c r="AL263" s="326"/>
      <c r="AM263" s="326"/>
      <c r="AN263" s="326"/>
    </row>
    <row r="264" spans="1:40" x14ac:dyDescent="0.15">
      <c r="A264" s="318"/>
      <c r="B264" s="320"/>
      <c r="C264" s="320"/>
      <c r="D264" s="320"/>
      <c r="E264" s="320"/>
      <c r="F264" s="320"/>
      <c r="G264" s="320"/>
      <c r="H264" s="320"/>
      <c r="I264" s="320"/>
      <c r="J264" s="320"/>
      <c r="K264" s="320"/>
      <c r="L264" s="320"/>
      <c r="M264" s="320"/>
      <c r="N264" s="320"/>
      <c r="O264" s="321"/>
      <c r="P264" s="321"/>
      <c r="Y264" s="326"/>
      <c r="Z264" s="326"/>
      <c r="AA264" s="326"/>
      <c r="AB264" s="326"/>
      <c r="AC264" s="326"/>
      <c r="AD264" s="326"/>
      <c r="AG264" s="326"/>
      <c r="AH264" s="326"/>
      <c r="AI264" s="326"/>
      <c r="AL264" s="326"/>
      <c r="AM264" s="326"/>
      <c r="AN264" s="326"/>
    </row>
    <row r="265" spans="1:40" x14ac:dyDescent="0.15">
      <c r="A265" s="318"/>
      <c r="B265" s="320"/>
      <c r="C265" s="320"/>
      <c r="D265" s="320"/>
      <c r="E265" s="320"/>
      <c r="F265" s="320"/>
      <c r="G265" s="320"/>
      <c r="H265" s="320"/>
      <c r="I265" s="320"/>
      <c r="J265" s="320"/>
      <c r="K265" s="320"/>
      <c r="L265" s="320"/>
      <c r="M265" s="320"/>
      <c r="N265" s="320"/>
      <c r="O265" s="321"/>
      <c r="P265" s="321"/>
      <c r="Y265" s="326"/>
      <c r="Z265" s="326"/>
      <c r="AA265" s="326"/>
      <c r="AB265" s="326"/>
      <c r="AC265" s="326"/>
      <c r="AD265" s="326"/>
      <c r="AG265" s="326"/>
      <c r="AH265" s="326"/>
      <c r="AI265" s="326"/>
      <c r="AL265" s="326"/>
      <c r="AM265" s="326"/>
      <c r="AN265" s="326"/>
    </row>
    <row r="266" spans="1:40" x14ac:dyDescent="0.15">
      <c r="A266" s="318"/>
      <c r="B266" s="320"/>
      <c r="C266" s="320"/>
      <c r="D266" s="320"/>
      <c r="E266" s="320"/>
      <c r="F266" s="320"/>
      <c r="G266" s="320"/>
      <c r="H266" s="320"/>
      <c r="I266" s="320"/>
      <c r="J266" s="320"/>
      <c r="K266" s="320"/>
      <c r="L266" s="320"/>
      <c r="M266" s="320"/>
      <c r="N266" s="320"/>
      <c r="O266" s="321"/>
      <c r="P266" s="321"/>
      <c r="Y266" s="326"/>
      <c r="Z266" s="326"/>
      <c r="AA266" s="326"/>
      <c r="AB266" s="326"/>
      <c r="AC266" s="326"/>
      <c r="AD266" s="326"/>
      <c r="AG266" s="326"/>
      <c r="AH266" s="326"/>
      <c r="AI266" s="326"/>
      <c r="AL266" s="326"/>
      <c r="AM266" s="326"/>
      <c r="AN266" s="326"/>
    </row>
    <row r="267" spans="1:40" x14ac:dyDescent="0.15">
      <c r="A267" s="318"/>
      <c r="B267" s="320"/>
      <c r="C267" s="320"/>
      <c r="D267" s="320"/>
      <c r="E267" s="320"/>
      <c r="F267" s="320"/>
      <c r="G267" s="320"/>
      <c r="H267" s="320"/>
      <c r="I267" s="320"/>
      <c r="J267" s="320"/>
      <c r="K267" s="320"/>
      <c r="L267" s="320"/>
      <c r="M267" s="320"/>
      <c r="N267" s="320"/>
      <c r="O267" s="321"/>
      <c r="P267" s="321"/>
      <c r="Y267" s="326"/>
      <c r="Z267" s="326"/>
      <c r="AA267" s="326"/>
      <c r="AB267" s="326"/>
      <c r="AC267" s="326"/>
      <c r="AD267" s="326"/>
      <c r="AG267" s="326"/>
      <c r="AH267" s="326"/>
      <c r="AI267" s="326"/>
      <c r="AL267" s="326"/>
      <c r="AM267" s="326"/>
      <c r="AN267" s="326"/>
    </row>
    <row r="268" spans="1:40" x14ac:dyDescent="0.15">
      <c r="A268" s="318"/>
      <c r="B268" s="320"/>
      <c r="C268" s="320"/>
      <c r="D268" s="320"/>
      <c r="E268" s="320"/>
      <c r="F268" s="320"/>
      <c r="G268" s="320"/>
      <c r="H268" s="320"/>
      <c r="I268" s="320"/>
      <c r="J268" s="320"/>
      <c r="K268" s="320"/>
      <c r="L268" s="320"/>
      <c r="M268" s="320"/>
      <c r="N268" s="320"/>
      <c r="O268" s="321"/>
      <c r="P268" s="321"/>
      <c r="Y268" s="326"/>
      <c r="Z268" s="326"/>
      <c r="AB268" s="326"/>
      <c r="AC268" s="326"/>
      <c r="AD268" s="326"/>
      <c r="AG268" s="326"/>
      <c r="AH268" s="326"/>
      <c r="AI268" s="326"/>
      <c r="AL268" s="326"/>
      <c r="AM268" s="326"/>
      <c r="AN268" s="326"/>
    </row>
    <row r="269" spans="1:40" x14ac:dyDescent="0.15">
      <c r="A269" s="318"/>
      <c r="B269" s="320"/>
      <c r="C269" s="320"/>
      <c r="D269" s="320"/>
      <c r="E269" s="320"/>
      <c r="F269" s="320"/>
      <c r="G269" s="320"/>
      <c r="H269" s="320"/>
      <c r="I269" s="320"/>
      <c r="J269" s="320"/>
      <c r="K269" s="320"/>
      <c r="L269" s="320"/>
      <c r="M269" s="320"/>
      <c r="N269" s="320"/>
      <c r="O269" s="321"/>
      <c r="P269" s="321"/>
      <c r="Y269" s="326"/>
      <c r="Z269" s="326"/>
      <c r="AB269" s="326"/>
      <c r="AC269" s="326"/>
      <c r="AD269" s="326"/>
      <c r="AG269" s="326"/>
      <c r="AH269" s="326"/>
      <c r="AI269" s="326"/>
      <c r="AL269" s="326"/>
      <c r="AM269" s="326"/>
      <c r="AN269" s="326"/>
    </row>
    <row r="270" spans="1:40" x14ac:dyDescent="0.15">
      <c r="A270" s="318"/>
      <c r="B270" s="320"/>
      <c r="C270" s="320"/>
      <c r="D270" s="320"/>
      <c r="E270" s="320"/>
      <c r="F270" s="320"/>
      <c r="G270" s="320"/>
      <c r="H270" s="320"/>
      <c r="I270" s="320"/>
      <c r="J270" s="320"/>
      <c r="K270" s="320"/>
      <c r="L270" s="320"/>
      <c r="M270" s="320"/>
      <c r="N270" s="320"/>
      <c r="O270" s="321"/>
      <c r="P270" s="321"/>
      <c r="Y270" s="326"/>
      <c r="Z270" s="326"/>
      <c r="AB270" s="326"/>
      <c r="AC270" s="326"/>
      <c r="AD270" s="326"/>
      <c r="AG270" s="326"/>
      <c r="AH270" s="326"/>
      <c r="AI270" s="326"/>
      <c r="AL270" s="326"/>
      <c r="AM270" s="326"/>
      <c r="AN270" s="326"/>
    </row>
    <row r="271" spans="1:40" x14ac:dyDescent="0.15">
      <c r="A271" s="318"/>
      <c r="B271" s="320"/>
      <c r="C271" s="320"/>
      <c r="D271" s="320"/>
      <c r="E271" s="320"/>
      <c r="F271" s="320"/>
      <c r="G271" s="320"/>
      <c r="H271" s="320"/>
      <c r="I271" s="320"/>
      <c r="J271" s="320"/>
      <c r="K271" s="320"/>
      <c r="L271" s="320"/>
      <c r="M271" s="320"/>
      <c r="N271" s="320"/>
      <c r="O271" s="321"/>
      <c r="P271" s="321"/>
      <c r="Y271" s="326"/>
      <c r="Z271" s="326"/>
      <c r="AB271" s="326"/>
      <c r="AC271" s="326"/>
      <c r="AD271" s="326"/>
      <c r="AG271" s="326"/>
      <c r="AH271" s="326"/>
      <c r="AI271" s="326"/>
      <c r="AL271" s="326"/>
      <c r="AM271" s="326"/>
      <c r="AN271" s="326"/>
    </row>
    <row r="272" spans="1:40" x14ac:dyDescent="0.15">
      <c r="A272" s="318"/>
      <c r="B272" s="320"/>
      <c r="C272" s="320"/>
      <c r="D272" s="320"/>
      <c r="E272" s="320"/>
      <c r="F272" s="320"/>
      <c r="G272" s="320"/>
      <c r="H272" s="320"/>
      <c r="I272" s="320"/>
      <c r="J272" s="320"/>
      <c r="K272" s="320"/>
      <c r="L272" s="320"/>
      <c r="M272" s="320"/>
      <c r="N272" s="320"/>
      <c r="O272" s="321"/>
      <c r="P272" s="321"/>
      <c r="Y272" s="326"/>
      <c r="Z272" s="326"/>
      <c r="AB272" s="326"/>
      <c r="AC272" s="326"/>
      <c r="AD272" s="326"/>
      <c r="AG272" s="326"/>
      <c r="AH272" s="326"/>
      <c r="AI272" s="326"/>
      <c r="AL272" s="326"/>
      <c r="AM272" s="326"/>
      <c r="AN272" s="326"/>
    </row>
    <row r="273" spans="1:40" x14ac:dyDescent="0.15">
      <c r="A273" s="318"/>
      <c r="B273" s="320"/>
      <c r="C273" s="320"/>
      <c r="D273" s="320"/>
      <c r="E273" s="320"/>
      <c r="F273" s="320"/>
      <c r="G273" s="320"/>
      <c r="H273" s="320"/>
      <c r="I273" s="320"/>
      <c r="J273" s="320"/>
      <c r="K273" s="320"/>
      <c r="L273" s="320"/>
      <c r="M273" s="320"/>
      <c r="N273" s="320"/>
      <c r="O273" s="321"/>
      <c r="P273" s="321"/>
      <c r="Y273" s="326"/>
      <c r="Z273" s="326"/>
      <c r="AB273" s="326"/>
      <c r="AC273" s="326"/>
      <c r="AD273" s="326"/>
      <c r="AG273" s="326"/>
      <c r="AH273" s="326"/>
      <c r="AI273" s="326"/>
      <c r="AL273" s="326"/>
      <c r="AM273" s="326"/>
      <c r="AN273" s="326"/>
    </row>
    <row r="274" spans="1:40" x14ac:dyDescent="0.15">
      <c r="A274" s="318"/>
      <c r="B274" s="320"/>
      <c r="C274" s="320"/>
      <c r="D274" s="320"/>
      <c r="E274" s="320"/>
      <c r="F274" s="320"/>
      <c r="G274" s="320"/>
      <c r="H274" s="320"/>
      <c r="I274" s="320"/>
      <c r="J274" s="320"/>
      <c r="K274" s="320"/>
      <c r="L274" s="320"/>
      <c r="M274" s="320"/>
      <c r="N274" s="320"/>
      <c r="O274" s="321"/>
      <c r="P274" s="321"/>
      <c r="Y274" s="326"/>
      <c r="Z274" s="326"/>
      <c r="AB274" s="326"/>
      <c r="AC274" s="326"/>
      <c r="AD274" s="326"/>
      <c r="AG274" s="326"/>
      <c r="AH274" s="326"/>
      <c r="AI274" s="326"/>
      <c r="AL274" s="326"/>
      <c r="AM274" s="326"/>
      <c r="AN274" s="326"/>
    </row>
    <row r="275" spans="1:40" x14ac:dyDescent="0.15">
      <c r="A275" s="318"/>
      <c r="B275" s="320"/>
      <c r="C275" s="320"/>
      <c r="D275" s="320"/>
      <c r="E275" s="320"/>
      <c r="F275" s="320"/>
      <c r="G275" s="320"/>
      <c r="H275" s="320"/>
      <c r="I275" s="320"/>
      <c r="J275" s="320"/>
      <c r="K275" s="320"/>
      <c r="L275" s="320"/>
      <c r="M275" s="320"/>
      <c r="N275" s="320"/>
      <c r="O275" s="321"/>
      <c r="P275" s="321"/>
      <c r="Y275" s="326"/>
      <c r="Z275" s="326"/>
      <c r="AB275" s="326"/>
      <c r="AC275" s="326"/>
      <c r="AD275" s="326"/>
      <c r="AG275" s="326"/>
      <c r="AH275" s="326"/>
      <c r="AI275" s="326"/>
      <c r="AL275" s="326"/>
      <c r="AM275" s="326"/>
      <c r="AN275" s="326"/>
    </row>
    <row r="276" spans="1:40" x14ac:dyDescent="0.15">
      <c r="A276" s="318"/>
      <c r="B276" s="320"/>
      <c r="C276" s="320"/>
      <c r="D276" s="320"/>
      <c r="E276" s="320"/>
      <c r="F276" s="320"/>
      <c r="G276" s="320"/>
      <c r="H276" s="320"/>
      <c r="I276" s="320"/>
      <c r="J276" s="320"/>
      <c r="K276" s="320"/>
      <c r="L276" s="320"/>
      <c r="M276" s="320"/>
      <c r="N276" s="320"/>
      <c r="O276" s="321"/>
      <c r="P276" s="321"/>
      <c r="Y276" s="326"/>
      <c r="Z276" s="326"/>
      <c r="AA276" s="326"/>
      <c r="AB276" s="326"/>
      <c r="AC276" s="326"/>
      <c r="AD276" s="326"/>
      <c r="AG276" s="326"/>
      <c r="AH276" s="326"/>
      <c r="AI276" s="326"/>
      <c r="AL276" s="326"/>
      <c r="AM276" s="326"/>
      <c r="AN276" s="326"/>
    </row>
    <row r="277" spans="1:40" x14ac:dyDescent="0.15">
      <c r="A277" s="318"/>
      <c r="B277" s="320"/>
      <c r="C277" s="320"/>
      <c r="D277" s="320"/>
      <c r="E277" s="320"/>
      <c r="F277" s="320"/>
      <c r="G277" s="320"/>
      <c r="H277" s="320"/>
      <c r="I277" s="320"/>
      <c r="J277" s="320"/>
      <c r="K277" s="320"/>
      <c r="L277" s="320"/>
      <c r="M277" s="320"/>
      <c r="N277" s="320"/>
      <c r="O277" s="321"/>
      <c r="P277" s="321"/>
      <c r="Y277" s="326"/>
      <c r="Z277" s="326"/>
      <c r="AB277" s="326"/>
      <c r="AC277" s="326"/>
      <c r="AD277" s="326"/>
      <c r="AG277" s="326"/>
      <c r="AH277" s="326"/>
      <c r="AI277" s="326"/>
      <c r="AL277" s="326"/>
      <c r="AM277" s="326"/>
      <c r="AN277" s="326"/>
    </row>
    <row r="278" spans="1:40" x14ac:dyDescent="0.15">
      <c r="A278" s="318"/>
      <c r="B278" s="320"/>
      <c r="C278" s="320"/>
      <c r="D278" s="320"/>
      <c r="E278" s="320"/>
      <c r="F278" s="320"/>
      <c r="G278" s="320"/>
      <c r="H278" s="320"/>
      <c r="I278" s="320"/>
      <c r="J278" s="320"/>
      <c r="K278" s="320"/>
      <c r="L278" s="320"/>
      <c r="M278" s="320"/>
      <c r="N278" s="320"/>
      <c r="O278" s="321"/>
      <c r="P278" s="321"/>
      <c r="Y278" s="326"/>
      <c r="Z278" s="326"/>
      <c r="AB278" s="326"/>
      <c r="AC278" s="326"/>
      <c r="AD278" s="326"/>
      <c r="AG278" s="326"/>
      <c r="AH278" s="326"/>
      <c r="AI278" s="326"/>
      <c r="AL278" s="326"/>
      <c r="AM278" s="326"/>
      <c r="AN278" s="326"/>
    </row>
    <row r="279" spans="1:40" x14ac:dyDescent="0.15">
      <c r="A279" s="318"/>
      <c r="B279" s="320"/>
      <c r="C279" s="320"/>
      <c r="D279" s="320"/>
      <c r="E279" s="320"/>
      <c r="F279" s="320"/>
      <c r="G279" s="320"/>
      <c r="H279" s="320"/>
      <c r="I279" s="320"/>
      <c r="J279" s="320"/>
      <c r="K279" s="320"/>
      <c r="L279" s="320"/>
      <c r="M279" s="320"/>
      <c r="N279" s="320"/>
      <c r="O279" s="321"/>
      <c r="P279" s="321"/>
      <c r="Y279" s="326"/>
      <c r="Z279" s="326"/>
      <c r="AB279" s="326"/>
      <c r="AC279" s="326"/>
      <c r="AD279" s="326"/>
      <c r="AG279" s="326"/>
      <c r="AH279" s="326"/>
      <c r="AI279" s="326"/>
      <c r="AL279" s="326"/>
      <c r="AM279" s="326"/>
      <c r="AN279" s="326"/>
    </row>
    <row r="280" spans="1:40" x14ac:dyDescent="0.15">
      <c r="A280" s="318"/>
      <c r="B280" s="320"/>
      <c r="C280" s="320"/>
      <c r="D280" s="320"/>
      <c r="E280" s="320"/>
      <c r="F280" s="320"/>
      <c r="G280" s="320"/>
      <c r="H280" s="320"/>
      <c r="I280" s="320"/>
      <c r="J280" s="320"/>
      <c r="K280" s="320"/>
      <c r="L280" s="320"/>
      <c r="M280" s="320"/>
      <c r="N280" s="320"/>
      <c r="O280" s="321"/>
      <c r="P280" s="321"/>
      <c r="Y280" s="326"/>
      <c r="Z280" s="326"/>
      <c r="AB280" s="326"/>
      <c r="AC280" s="326"/>
      <c r="AD280" s="326"/>
      <c r="AG280" s="326"/>
      <c r="AH280" s="326"/>
      <c r="AI280" s="326"/>
      <c r="AL280" s="326"/>
      <c r="AM280" s="326"/>
      <c r="AN280" s="326"/>
    </row>
    <row r="281" spans="1:40" x14ac:dyDescent="0.15">
      <c r="A281" s="318"/>
      <c r="B281" s="320"/>
      <c r="C281" s="320"/>
      <c r="D281" s="320"/>
      <c r="E281" s="320"/>
      <c r="F281" s="320"/>
      <c r="G281" s="320"/>
      <c r="H281" s="320"/>
      <c r="I281" s="320"/>
      <c r="J281" s="320"/>
      <c r="K281" s="320"/>
      <c r="L281" s="320"/>
      <c r="M281" s="320"/>
      <c r="N281" s="320"/>
      <c r="O281" s="321"/>
      <c r="P281" s="321"/>
      <c r="Y281" s="326"/>
      <c r="Z281" s="326"/>
      <c r="AB281" s="326"/>
      <c r="AC281" s="326"/>
      <c r="AD281" s="326"/>
      <c r="AG281" s="326"/>
      <c r="AH281" s="326"/>
      <c r="AI281" s="326"/>
      <c r="AL281" s="326"/>
      <c r="AM281" s="326"/>
      <c r="AN281" s="326"/>
    </row>
    <row r="282" spans="1:40" x14ac:dyDescent="0.15">
      <c r="A282" s="318"/>
      <c r="B282" s="320"/>
      <c r="C282" s="320"/>
      <c r="D282" s="320"/>
      <c r="E282" s="320"/>
      <c r="F282" s="320"/>
      <c r="G282" s="320"/>
      <c r="H282" s="320"/>
      <c r="I282" s="320"/>
      <c r="J282" s="320"/>
      <c r="K282" s="320"/>
      <c r="L282" s="320"/>
      <c r="M282" s="320"/>
      <c r="N282" s="320"/>
      <c r="O282" s="321"/>
      <c r="P282" s="321"/>
      <c r="Y282" s="326"/>
      <c r="Z282" s="326"/>
      <c r="AB282" s="326"/>
      <c r="AC282" s="326"/>
      <c r="AD282" s="326"/>
      <c r="AG282" s="326"/>
      <c r="AH282" s="326"/>
      <c r="AI282" s="326"/>
      <c r="AL282" s="326"/>
      <c r="AM282" s="326"/>
      <c r="AN282" s="326"/>
    </row>
    <row r="283" spans="1:40" x14ac:dyDescent="0.15">
      <c r="A283" s="318"/>
      <c r="B283" s="320"/>
      <c r="C283" s="320"/>
      <c r="D283" s="320"/>
      <c r="E283" s="320"/>
      <c r="F283" s="320"/>
      <c r="G283" s="320"/>
      <c r="H283" s="320"/>
      <c r="I283" s="320"/>
      <c r="J283" s="320"/>
      <c r="K283" s="320"/>
      <c r="L283" s="320"/>
      <c r="M283" s="320"/>
      <c r="N283" s="320"/>
      <c r="O283" s="321"/>
      <c r="P283" s="321"/>
      <c r="Y283" s="326"/>
      <c r="Z283" s="326"/>
      <c r="AB283" s="326"/>
      <c r="AC283" s="326"/>
      <c r="AD283" s="326"/>
      <c r="AG283" s="326"/>
      <c r="AH283" s="326"/>
      <c r="AI283" s="326"/>
      <c r="AL283" s="326"/>
      <c r="AM283" s="326"/>
      <c r="AN283" s="326"/>
    </row>
    <row r="284" spans="1:40" x14ac:dyDescent="0.15">
      <c r="A284" s="318"/>
      <c r="B284" s="320"/>
      <c r="C284" s="320"/>
      <c r="D284" s="320"/>
      <c r="E284" s="320"/>
      <c r="F284" s="320"/>
      <c r="G284" s="320"/>
      <c r="H284" s="320"/>
      <c r="I284" s="320"/>
      <c r="J284" s="320"/>
      <c r="K284" s="320"/>
      <c r="L284" s="320"/>
      <c r="M284" s="320"/>
      <c r="N284" s="320"/>
      <c r="O284" s="321"/>
      <c r="P284" s="321"/>
      <c r="Y284" s="326"/>
      <c r="Z284" s="326"/>
      <c r="AB284" s="326"/>
      <c r="AC284" s="326"/>
      <c r="AD284" s="326"/>
      <c r="AG284" s="326"/>
      <c r="AH284" s="326"/>
      <c r="AI284" s="326"/>
      <c r="AL284" s="326"/>
      <c r="AM284" s="326"/>
      <c r="AN284" s="326"/>
    </row>
    <row r="285" spans="1:40" x14ac:dyDescent="0.15">
      <c r="A285" s="318"/>
      <c r="B285" s="320"/>
      <c r="C285" s="320"/>
      <c r="D285" s="320"/>
      <c r="E285" s="320"/>
      <c r="F285" s="320"/>
      <c r="G285" s="320"/>
      <c r="H285" s="320"/>
      <c r="I285" s="320"/>
      <c r="J285" s="320"/>
      <c r="K285" s="320"/>
      <c r="L285" s="320"/>
      <c r="M285" s="320"/>
      <c r="N285" s="320"/>
      <c r="O285" s="321"/>
      <c r="P285" s="321"/>
      <c r="Y285" s="326"/>
      <c r="Z285" s="326"/>
      <c r="AB285" s="326"/>
      <c r="AC285" s="326"/>
      <c r="AD285" s="326"/>
      <c r="AG285" s="326"/>
      <c r="AH285" s="326"/>
      <c r="AI285" s="326"/>
      <c r="AL285" s="326"/>
      <c r="AM285" s="326"/>
      <c r="AN285" s="326"/>
    </row>
    <row r="286" spans="1:40" x14ac:dyDescent="0.15">
      <c r="A286" s="318"/>
      <c r="B286" s="320"/>
      <c r="C286" s="320"/>
      <c r="D286" s="320"/>
      <c r="E286" s="320"/>
      <c r="F286" s="320"/>
      <c r="G286" s="320"/>
      <c r="H286" s="320"/>
      <c r="I286" s="320"/>
      <c r="J286" s="320"/>
      <c r="K286" s="320"/>
      <c r="L286" s="320"/>
      <c r="M286" s="320"/>
      <c r="N286" s="320"/>
      <c r="O286" s="321"/>
      <c r="P286" s="321"/>
      <c r="Y286" s="326"/>
      <c r="Z286" s="326"/>
      <c r="AB286" s="326"/>
      <c r="AC286" s="326"/>
      <c r="AD286" s="326"/>
      <c r="AG286" s="326"/>
      <c r="AH286" s="326"/>
      <c r="AI286" s="326"/>
      <c r="AL286" s="326"/>
      <c r="AM286" s="326"/>
      <c r="AN286" s="326"/>
    </row>
    <row r="287" spans="1:40" x14ac:dyDescent="0.15">
      <c r="A287" s="318"/>
      <c r="B287" s="320"/>
      <c r="C287" s="320"/>
      <c r="D287" s="320"/>
      <c r="E287" s="320"/>
      <c r="F287" s="320"/>
      <c r="G287" s="320"/>
      <c r="H287" s="320"/>
      <c r="I287" s="320"/>
      <c r="J287" s="320"/>
      <c r="K287" s="320"/>
      <c r="L287" s="320"/>
      <c r="M287" s="320"/>
      <c r="N287" s="320"/>
      <c r="O287" s="321"/>
      <c r="P287" s="321"/>
      <c r="Y287" s="326"/>
      <c r="Z287" s="326"/>
      <c r="AB287" s="326"/>
      <c r="AC287" s="326"/>
      <c r="AD287" s="326"/>
      <c r="AG287" s="326"/>
      <c r="AH287" s="326"/>
      <c r="AI287" s="326"/>
      <c r="AL287" s="326"/>
      <c r="AM287" s="326"/>
      <c r="AN287" s="326"/>
    </row>
    <row r="288" spans="1:40" x14ac:dyDescent="0.15">
      <c r="A288" s="318"/>
      <c r="B288" s="320"/>
      <c r="C288" s="320"/>
      <c r="D288" s="320"/>
      <c r="E288" s="320"/>
      <c r="F288" s="320"/>
      <c r="G288" s="320"/>
      <c r="H288" s="320"/>
      <c r="I288" s="320"/>
      <c r="J288" s="320"/>
      <c r="K288" s="320"/>
      <c r="L288" s="320"/>
      <c r="M288" s="320"/>
      <c r="N288" s="320"/>
      <c r="O288" s="321"/>
      <c r="P288" s="321"/>
      <c r="Y288" s="326"/>
      <c r="Z288" s="326"/>
      <c r="AB288" s="326"/>
      <c r="AC288" s="326"/>
      <c r="AD288" s="326"/>
      <c r="AG288" s="326"/>
      <c r="AH288" s="326"/>
      <c r="AI288" s="326"/>
      <c r="AL288" s="326"/>
      <c r="AM288" s="326"/>
      <c r="AN288" s="326"/>
    </row>
    <row r="289" spans="1:40" x14ac:dyDescent="0.15">
      <c r="A289" s="318"/>
      <c r="B289" s="320"/>
      <c r="C289" s="320"/>
      <c r="D289" s="320"/>
      <c r="E289" s="320"/>
      <c r="F289" s="320"/>
      <c r="G289" s="320"/>
      <c r="H289" s="320"/>
      <c r="I289" s="320"/>
      <c r="J289" s="320"/>
      <c r="K289" s="320"/>
      <c r="L289" s="320"/>
      <c r="M289" s="320"/>
      <c r="N289" s="320"/>
      <c r="O289" s="321"/>
      <c r="P289" s="321"/>
      <c r="Y289" s="326"/>
      <c r="Z289" s="326"/>
      <c r="AB289" s="326"/>
      <c r="AC289" s="326"/>
      <c r="AD289" s="326"/>
      <c r="AG289" s="326"/>
      <c r="AH289" s="326"/>
      <c r="AI289" s="326"/>
      <c r="AL289" s="326"/>
      <c r="AM289" s="326"/>
      <c r="AN289" s="326"/>
    </row>
    <row r="290" spans="1:40" x14ac:dyDescent="0.15">
      <c r="A290" s="318"/>
      <c r="B290" s="320"/>
      <c r="C290" s="320"/>
      <c r="D290" s="320"/>
      <c r="E290" s="320"/>
      <c r="F290" s="320"/>
      <c r="G290" s="320"/>
      <c r="H290" s="320"/>
      <c r="I290" s="320"/>
      <c r="J290" s="320"/>
      <c r="K290" s="320"/>
      <c r="L290" s="320"/>
      <c r="M290" s="320"/>
      <c r="N290" s="320"/>
      <c r="O290" s="321"/>
      <c r="P290" s="321"/>
      <c r="Y290" s="326"/>
      <c r="Z290" s="326"/>
      <c r="AA290" s="326"/>
      <c r="AB290" s="326"/>
      <c r="AC290" s="326"/>
      <c r="AD290" s="326"/>
      <c r="AG290" s="326"/>
      <c r="AH290" s="326"/>
      <c r="AI290" s="326"/>
      <c r="AL290" s="326"/>
      <c r="AM290" s="326"/>
      <c r="AN290" s="326"/>
    </row>
    <row r="291" spans="1:40" x14ac:dyDescent="0.15">
      <c r="A291" s="318"/>
      <c r="B291" s="320"/>
      <c r="C291" s="320"/>
      <c r="D291" s="320"/>
      <c r="E291" s="320"/>
      <c r="F291" s="320"/>
      <c r="G291" s="320"/>
      <c r="H291" s="320"/>
      <c r="I291" s="320"/>
      <c r="J291" s="320"/>
      <c r="K291" s="320"/>
      <c r="L291" s="320"/>
      <c r="M291" s="320"/>
      <c r="N291" s="320"/>
      <c r="O291" s="321"/>
      <c r="P291" s="321"/>
      <c r="Y291" s="326"/>
      <c r="Z291" s="326"/>
      <c r="AA291" s="326"/>
      <c r="AB291" s="326"/>
      <c r="AC291" s="326"/>
      <c r="AD291" s="326"/>
      <c r="AG291" s="326"/>
      <c r="AH291" s="326"/>
      <c r="AI291" s="326"/>
      <c r="AL291" s="326"/>
      <c r="AM291" s="326"/>
      <c r="AN291" s="326"/>
    </row>
    <row r="292" spans="1:40" x14ac:dyDescent="0.15">
      <c r="A292" s="318"/>
      <c r="B292" s="320"/>
      <c r="C292" s="320"/>
      <c r="D292" s="320"/>
      <c r="E292" s="320"/>
      <c r="F292" s="320"/>
      <c r="G292" s="320"/>
      <c r="H292" s="320"/>
      <c r="I292" s="320"/>
      <c r="J292" s="320"/>
      <c r="K292" s="320"/>
      <c r="L292" s="320"/>
      <c r="M292" s="320"/>
      <c r="N292" s="320"/>
      <c r="O292" s="321"/>
      <c r="P292" s="321"/>
      <c r="Y292" s="326"/>
      <c r="Z292" s="326"/>
      <c r="AB292" s="326"/>
      <c r="AC292" s="326"/>
      <c r="AD292" s="326"/>
      <c r="AG292" s="326"/>
      <c r="AH292" s="326"/>
      <c r="AI292" s="326"/>
      <c r="AL292" s="326"/>
      <c r="AM292" s="326"/>
      <c r="AN292" s="326"/>
    </row>
    <row r="293" spans="1:40" x14ac:dyDescent="0.15">
      <c r="A293" s="318"/>
      <c r="B293" s="320"/>
      <c r="C293" s="320"/>
      <c r="D293" s="320"/>
      <c r="E293" s="320"/>
      <c r="F293" s="320"/>
      <c r="G293" s="320"/>
      <c r="H293" s="320"/>
      <c r="I293" s="320"/>
      <c r="J293" s="320"/>
      <c r="K293" s="320"/>
      <c r="L293" s="320"/>
      <c r="M293" s="320"/>
      <c r="N293" s="320"/>
      <c r="O293" s="321"/>
      <c r="P293" s="321"/>
      <c r="Y293" s="326"/>
      <c r="Z293" s="326"/>
      <c r="AA293" s="326"/>
      <c r="AB293" s="326"/>
      <c r="AC293" s="326"/>
      <c r="AD293" s="326"/>
      <c r="AG293" s="326"/>
      <c r="AH293" s="326"/>
      <c r="AI293" s="326"/>
      <c r="AL293" s="326"/>
      <c r="AM293" s="326"/>
      <c r="AN293" s="326"/>
    </row>
    <row r="294" spans="1:40" x14ac:dyDescent="0.15">
      <c r="A294" s="318"/>
      <c r="B294" s="320"/>
      <c r="C294" s="320"/>
      <c r="D294" s="320"/>
      <c r="E294" s="320"/>
      <c r="F294" s="320"/>
      <c r="G294" s="320"/>
      <c r="H294" s="320"/>
      <c r="I294" s="320"/>
      <c r="J294" s="320"/>
      <c r="K294" s="320"/>
      <c r="L294" s="320"/>
      <c r="M294" s="320"/>
      <c r="N294" s="320"/>
      <c r="O294" s="321"/>
      <c r="P294" s="321"/>
      <c r="Y294" s="326"/>
      <c r="Z294" s="326"/>
      <c r="AA294" s="326"/>
      <c r="AB294" s="326"/>
      <c r="AC294" s="326"/>
      <c r="AD294" s="326"/>
      <c r="AG294" s="326"/>
      <c r="AH294" s="326"/>
      <c r="AI294" s="326"/>
      <c r="AL294" s="326"/>
      <c r="AM294" s="326"/>
      <c r="AN294" s="326"/>
    </row>
    <row r="295" spans="1:40" x14ac:dyDescent="0.15">
      <c r="A295" s="318"/>
      <c r="B295" s="320"/>
      <c r="C295" s="320"/>
      <c r="D295" s="320"/>
      <c r="E295" s="320"/>
      <c r="F295" s="320"/>
      <c r="G295" s="320"/>
      <c r="H295" s="320"/>
      <c r="I295" s="320"/>
      <c r="J295" s="320"/>
      <c r="K295" s="320"/>
      <c r="L295" s="320"/>
      <c r="M295" s="320"/>
      <c r="N295" s="320"/>
      <c r="O295" s="321"/>
      <c r="P295" s="321"/>
      <c r="Y295" s="326"/>
      <c r="Z295" s="326"/>
      <c r="AA295" s="326"/>
      <c r="AB295" s="326"/>
      <c r="AC295" s="326"/>
      <c r="AD295" s="326"/>
      <c r="AG295" s="326"/>
      <c r="AH295" s="326"/>
      <c r="AI295" s="326"/>
      <c r="AL295" s="326"/>
      <c r="AM295" s="326"/>
      <c r="AN295" s="326"/>
    </row>
    <row r="296" spans="1:40" x14ac:dyDescent="0.15">
      <c r="A296" s="318"/>
      <c r="B296" s="320"/>
      <c r="C296" s="320"/>
      <c r="D296" s="320"/>
      <c r="E296" s="320"/>
      <c r="F296" s="320"/>
      <c r="G296" s="320"/>
      <c r="H296" s="320"/>
      <c r="I296" s="320"/>
      <c r="J296" s="320"/>
      <c r="K296" s="320"/>
      <c r="L296" s="320"/>
      <c r="M296" s="320"/>
      <c r="N296" s="320"/>
      <c r="O296" s="321"/>
      <c r="P296" s="321"/>
      <c r="Y296" s="326"/>
      <c r="Z296" s="326"/>
      <c r="AB296" s="326"/>
      <c r="AC296" s="326"/>
      <c r="AD296" s="326"/>
      <c r="AG296" s="326"/>
      <c r="AH296" s="326"/>
      <c r="AI296" s="326"/>
      <c r="AL296" s="326"/>
      <c r="AM296" s="326"/>
      <c r="AN296" s="326"/>
    </row>
    <row r="297" spans="1:40" x14ac:dyDescent="0.15">
      <c r="A297" s="318"/>
      <c r="B297" s="320"/>
      <c r="C297" s="320"/>
      <c r="D297" s="320"/>
      <c r="E297" s="320"/>
      <c r="F297" s="320"/>
      <c r="G297" s="320"/>
      <c r="H297" s="320"/>
      <c r="I297" s="320"/>
      <c r="J297" s="320"/>
      <c r="K297" s="320"/>
      <c r="L297" s="320"/>
      <c r="M297" s="320"/>
      <c r="N297" s="320"/>
      <c r="O297" s="321"/>
      <c r="P297" s="321"/>
      <c r="Y297" s="326"/>
      <c r="Z297" s="326"/>
      <c r="AA297" s="326"/>
      <c r="AB297" s="326"/>
      <c r="AC297" s="326"/>
      <c r="AD297" s="326"/>
      <c r="AG297" s="326"/>
      <c r="AH297" s="326"/>
      <c r="AI297" s="326"/>
      <c r="AL297" s="326"/>
      <c r="AM297" s="326"/>
      <c r="AN297" s="326"/>
    </row>
    <row r="298" spans="1:40" x14ac:dyDescent="0.15">
      <c r="A298" s="318"/>
      <c r="B298" s="320"/>
      <c r="C298" s="320"/>
      <c r="D298" s="320"/>
      <c r="E298" s="320"/>
      <c r="F298" s="320"/>
      <c r="G298" s="320"/>
      <c r="H298" s="320"/>
      <c r="I298" s="320"/>
      <c r="J298" s="320"/>
      <c r="K298" s="320"/>
      <c r="L298" s="320"/>
      <c r="M298" s="320"/>
      <c r="N298" s="320"/>
      <c r="O298" s="321"/>
      <c r="P298" s="321"/>
      <c r="Y298" s="326"/>
      <c r="Z298" s="326"/>
      <c r="AB298" s="326"/>
      <c r="AC298" s="326"/>
      <c r="AD298" s="326"/>
      <c r="AG298" s="326"/>
      <c r="AH298" s="326"/>
      <c r="AI298" s="326"/>
      <c r="AL298" s="326"/>
      <c r="AM298" s="326"/>
      <c r="AN298" s="326"/>
    </row>
    <row r="299" spans="1:40" x14ac:dyDescent="0.15">
      <c r="A299" s="318"/>
      <c r="B299" s="320"/>
      <c r="C299" s="320"/>
      <c r="D299" s="320"/>
      <c r="E299" s="320"/>
      <c r="F299" s="320"/>
      <c r="G299" s="320"/>
      <c r="H299" s="320"/>
      <c r="I299" s="320"/>
      <c r="J299" s="320"/>
      <c r="K299" s="320"/>
      <c r="L299" s="320"/>
      <c r="M299" s="320"/>
      <c r="N299" s="320"/>
      <c r="O299" s="321"/>
      <c r="P299" s="321"/>
      <c r="Y299" s="326"/>
      <c r="Z299" s="326"/>
      <c r="AA299" s="326"/>
      <c r="AB299" s="326"/>
      <c r="AC299" s="326"/>
      <c r="AD299" s="326"/>
      <c r="AG299" s="326"/>
      <c r="AH299" s="326"/>
      <c r="AI299" s="326"/>
      <c r="AL299" s="326"/>
      <c r="AM299" s="326"/>
      <c r="AN299" s="326"/>
    </row>
    <row r="300" spans="1:40" x14ac:dyDescent="0.15">
      <c r="A300" s="318"/>
      <c r="B300" s="320"/>
      <c r="C300" s="320"/>
      <c r="D300" s="320"/>
      <c r="E300" s="320"/>
      <c r="F300" s="320"/>
      <c r="G300" s="320"/>
      <c r="H300" s="320"/>
      <c r="I300" s="320"/>
      <c r="J300" s="320"/>
      <c r="K300" s="320"/>
      <c r="L300" s="320"/>
      <c r="M300" s="320"/>
      <c r="N300" s="320"/>
      <c r="O300" s="321"/>
      <c r="P300" s="321"/>
      <c r="Y300" s="326"/>
      <c r="Z300" s="326"/>
      <c r="AB300" s="326"/>
      <c r="AC300" s="326"/>
      <c r="AD300" s="326"/>
      <c r="AG300" s="326"/>
      <c r="AH300" s="326"/>
      <c r="AI300" s="326"/>
      <c r="AL300" s="326"/>
      <c r="AM300" s="326"/>
      <c r="AN300" s="326"/>
    </row>
    <row r="301" spans="1:40" x14ac:dyDescent="0.15">
      <c r="A301" s="318"/>
      <c r="B301" s="320"/>
      <c r="C301" s="320"/>
      <c r="D301" s="320"/>
      <c r="E301" s="320"/>
      <c r="F301" s="320"/>
      <c r="G301" s="320"/>
      <c r="H301" s="320"/>
      <c r="I301" s="320"/>
      <c r="J301" s="320"/>
      <c r="K301" s="320"/>
      <c r="L301" s="320"/>
      <c r="M301" s="320"/>
      <c r="N301" s="320"/>
      <c r="O301" s="321"/>
      <c r="P301" s="321"/>
      <c r="Y301" s="326"/>
      <c r="Z301" s="326"/>
      <c r="AA301" s="326"/>
      <c r="AB301" s="326"/>
      <c r="AC301" s="326"/>
      <c r="AD301" s="326"/>
      <c r="AG301" s="326"/>
      <c r="AH301" s="326"/>
      <c r="AI301" s="326"/>
      <c r="AL301" s="326"/>
      <c r="AM301" s="326"/>
      <c r="AN301" s="326"/>
    </row>
    <row r="302" spans="1:40" x14ac:dyDescent="0.15">
      <c r="A302" s="318"/>
      <c r="B302" s="320"/>
      <c r="C302" s="320"/>
      <c r="D302" s="320"/>
      <c r="E302" s="320"/>
      <c r="F302" s="320"/>
      <c r="G302" s="320"/>
      <c r="H302" s="320"/>
      <c r="I302" s="320"/>
      <c r="J302" s="320"/>
      <c r="K302" s="320"/>
      <c r="L302" s="320"/>
      <c r="M302" s="320"/>
      <c r="N302" s="320"/>
      <c r="O302" s="321"/>
      <c r="P302" s="321"/>
      <c r="Y302" s="326"/>
      <c r="Z302" s="326"/>
      <c r="AA302" s="326"/>
      <c r="AB302" s="326"/>
      <c r="AC302" s="326"/>
      <c r="AD302" s="326"/>
      <c r="AG302" s="326"/>
      <c r="AH302" s="326"/>
      <c r="AI302" s="326"/>
      <c r="AL302" s="326"/>
      <c r="AM302" s="326"/>
      <c r="AN302" s="326"/>
    </row>
    <row r="303" spans="1:40" x14ac:dyDescent="0.15">
      <c r="A303" s="318"/>
      <c r="B303" s="320"/>
      <c r="C303" s="320"/>
      <c r="D303" s="320"/>
      <c r="E303" s="320"/>
      <c r="F303" s="320"/>
      <c r="G303" s="320"/>
      <c r="H303" s="320"/>
      <c r="I303" s="320"/>
      <c r="J303" s="320"/>
      <c r="K303" s="320"/>
      <c r="L303" s="320"/>
      <c r="M303" s="320"/>
      <c r="N303" s="320"/>
      <c r="O303" s="321"/>
      <c r="P303" s="321"/>
      <c r="Y303" s="326"/>
      <c r="Z303" s="326"/>
      <c r="AA303" s="326"/>
      <c r="AB303" s="326"/>
      <c r="AC303" s="326"/>
      <c r="AD303" s="326"/>
      <c r="AG303" s="326"/>
      <c r="AH303" s="326"/>
      <c r="AI303" s="326"/>
      <c r="AL303" s="326"/>
      <c r="AM303" s="326"/>
      <c r="AN303" s="326"/>
    </row>
    <row r="304" spans="1:40" x14ac:dyDescent="0.15">
      <c r="A304" s="318"/>
      <c r="B304" s="320"/>
      <c r="C304" s="320"/>
      <c r="D304" s="320"/>
      <c r="E304" s="320"/>
      <c r="F304" s="320"/>
      <c r="G304" s="320"/>
      <c r="H304" s="320"/>
      <c r="I304" s="320"/>
      <c r="J304" s="320"/>
      <c r="K304" s="320"/>
      <c r="L304" s="320"/>
      <c r="M304" s="320"/>
      <c r="N304" s="320"/>
      <c r="O304" s="321"/>
      <c r="P304" s="321"/>
      <c r="Y304" s="326"/>
      <c r="Z304" s="326"/>
      <c r="AB304" s="326"/>
      <c r="AC304" s="326"/>
      <c r="AD304" s="326"/>
      <c r="AG304" s="326"/>
      <c r="AH304" s="326"/>
      <c r="AI304" s="326"/>
      <c r="AL304" s="326"/>
      <c r="AM304" s="326"/>
      <c r="AN304" s="326"/>
    </row>
    <row r="305" spans="1:40" x14ac:dyDescent="0.15">
      <c r="A305" s="318"/>
      <c r="B305" s="320"/>
      <c r="C305" s="320"/>
      <c r="D305" s="320"/>
      <c r="E305" s="320"/>
      <c r="F305" s="320"/>
      <c r="G305" s="320"/>
      <c r="H305" s="320"/>
      <c r="I305" s="320"/>
      <c r="J305" s="320"/>
      <c r="K305" s="320"/>
      <c r="L305" s="320"/>
      <c r="M305" s="320"/>
      <c r="N305" s="320"/>
      <c r="O305" s="321"/>
      <c r="P305" s="321"/>
      <c r="Y305" s="326"/>
      <c r="Z305" s="326"/>
      <c r="AA305" s="326"/>
      <c r="AB305" s="326"/>
      <c r="AC305" s="326"/>
      <c r="AD305" s="326"/>
      <c r="AG305" s="326"/>
      <c r="AH305" s="326"/>
      <c r="AI305" s="326"/>
      <c r="AL305" s="326"/>
      <c r="AM305" s="326"/>
      <c r="AN305" s="326"/>
    </row>
    <row r="306" spans="1:40" x14ac:dyDescent="0.15">
      <c r="A306" s="318"/>
      <c r="B306" s="320"/>
      <c r="C306" s="320"/>
      <c r="D306" s="320"/>
      <c r="E306" s="320"/>
      <c r="F306" s="320"/>
      <c r="G306" s="320"/>
      <c r="H306" s="320"/>
      <c r="I306" s="320"/>
      <c r="J306" s="320"/>
      <c r="K306" s="320"/>
      <c r="L306" s="320"/>
      <c r="M306" s="320"/>
      <c r="N306" s="320"/>
      <c r="O306" s="321"/>
      <c r="P306" s="321"/>
      <c r="Y306" s="326"/>
      <c r="Z306" s="326"/>
      <c r="AB306" s="326"/>
      <c r="AC306" s="326"/>
      <c r="AD306" s="326"/>
      <c r="AG306" s="326"/>
      <c r="AH306" s="326"/>
      <c r="AI306" s="326"/>
      <c r="AL306" s="326"/>
      <c r="AM306" s="326"/>
      <c r="AN306" s="326"/>
    </row>
    <row r="307" spans="1:40" x14ac:dyDescent="0.15">
      <c r="A307" s="318"/>
      <c r="B307" s="320"/>
      <c r="C307" s="320"/>
      <c r="D307" s="320"/>
      <c r="E307" s="320"/>
      <c r="F307" s="320"/>
      <c r="G307" s="320"/>
      <c r="H307" s="320"/>
      <c r="I307" s="320"/>
      <c r="J307" s="320"/>
      <c r="K307" s="320"/>
      <c r="L307" s="320"/>
      <c r="M307" s="320"/>
      <c r="N307" s="320"/>
      <c r="O307" s="321"/>
      <c r="P307" s="321"/>
      <c r="Y307" s="326"/>
      <c r="Z307" s="326"/>
      <c r="AA307" s="326"/>
      <c r="AB307" s="326"/>
      <c r="AC307" s="326"/>
      <c r="AD307" s="326"/>
      <c r="AG307" s="326"/>
      <c r="AH307" s="326"/>
      <c r="AI307" s="326"/>
      <c r="AL307" s="326"/>
      <c r="AM307" s="326"/>
      <c r="AN307" s="326"/>
    </row>
    <row r="308" spans="1:40" x14ac:dyDescent="0.15">
      <c r="A308" s="318"/>
      <c r="B308" s="320"/>
      <c r="C308" s="320"/>
      <c r="D308" s="320"/>
      <c r="E308" s="320"/>
      <c r="F308" s="320"/>
      <c r="G308" s="320"/>
      <c r="H308" s="320"/>
      <c r="I308" s="320"/>
      <c r="J308" s="320"/>
      <c r="K308" s="320"/>
      <c r="L308" s="320"/>
      <c r="M308" s="320"/>
      <c r="N308" s="320"/>
      <c r="O308" s="321"/>
      <c r="P308" s="321"/>
      <c r="Y308" s="326"/>
      <c r="Z308" s="326"/>
      <c r="AB308" s="326"/>
      <c r="AC308" s="326"/>
      <c r="AD308" s="326"/>
      <c r="AG308" s="326"/>
      <c r="AH308" s="326"/>
      <c r="AI308" s="326"/>
      <c r="AL308" s="326"/>
      <c r="AM308" s="326"/>
      <c r="AN308" s="326"/>
    </row>
    <row r="309" spans="1:40" x14ac:dyDescent="0.15">
      <c r="A309" s="318"/>
      <c r="B309" s="320"/>
      <c r="C309" s="320"/>
      <c r="D309" s="320"/>
      <c r="E309" s="320"/>
      <c r="F309" s="320"/>
      <c r="G309" s="320"/>
      <c r="H309" s="320"/>
      <c r="I309" s="320"/>
      <c r="J309" s="320"/>
      <c r="K309" s="320"/>
      <c r="L309" s="320"/>
      <c r="M309" s="320"/>
      <c r="N309" s="320"/>
      <c r="O309" s="321"/>
      <c r="P309" s="321"/>
      <c r="Y309" s="326"/>
      <c r="Z309" s="326"/>
      <c r="AB309" s="326"/>
      <c r="AC309" s="326"/>
      <c r="AD309" s="326"/>
      <c r="AG309" s="326"/>
      <c r="AH309" s="326"/>
      <c r="AI309" s="326"/>
      <c r="AL309" s="326"/>
      <c r="AM309" s="326"/>
      <c r="AN309" s="326"/>
    </row>
    <row r="310" spans="1:40" x14ac:dyDescent="0.15">
      <c r="A310" s="318"/>
      <c r="B310" s="320"/>
      <c r="C310" s="320"/>
      <c r="D310" s="320"/>
      <c r="E310" s="320"/>
      <c r="F310" s="320"/>
      <c r="G310" s="320"/>
      <c r="H310" s="320"/>
      <c r="I310" s="320"/>
      <c r="J310" s="320"/>
      <c r="K310" s="320"/>
      <c r="L310" s="320"/>
      <c r="M310" s="320"/>
      <c r="N310" s="320"/>
      <c r="O310" s="321"/>
      <c r="P310" s="321"/>
      <c r="Y310" s="326"/>
      <c r="Z310" s="326"/>
      <c r="AB310" s="326"/>
      <c r="AC310" s="326"/>
      <c r="AD310" s="326"/>
      <c r="AG310" s="326"/>
      <c r="AH310" s="326"/>
      <c r="AI310" s="326"/>
      <c r="AL310" s="326"/>
      <c r="AM310" s="326"/>
      <c r="AN310" s="326"/>
    </row>
    <row r="311" spans="1:40" x14ac:dyDescent="0.15">
      <c r="A311" s="318"/>
      <c r="B311" s="320"/>
      <c r="C311" s="320"/>
      <c r="D311" s="320"/>
      <c r="E311" s="320"/>
      <c r="F311" s="320"/>
      <c r="G311" s="320"/>
      <c r="H311" s="320"/>
      <c r="I311" s="320"/>
      <c r="J311" s="320"/>
      <c r="K311" s="320"/>
      <c r="L311" s="320"/>
      <c r="M311" s="320"/>
      <c r="N311" s="320"/>
      <c r="O311" s="321"/>
      <c r="P311" s="321"/>
      <c r="Y311" s="326"/>
      <c r="Z311" s="326"/>
      <c r="AA311" s="326"/>
      <c r="AB311" s="326"/>
      <c r="AC311" s="326"/>
      <c r="AD311" s="326"/>
      <c r="AG311" s="326"/>
      <c r="AH311" s="326"/>
      <c r="AI311" s="326"/>
      <c r="AL311" s="326"/>
      <c r="AM311" s="326"/>
      <c r="AN311" s="326"/>
    </row>
    <row r="312" spans="1:40" x14ac:dyDescent="0.15">
      <c r="A312" s="318"/>
      <c r="B312" s="320"/>
      <c r="C312" s="320"/>
      <c r="D312" s="320"/>
      <c r="E312" s="320"/>
      <c r="F312" s="320"/>
      <c r="G312" s="320"/>
      <c r="H312" s="320"/>
      <c r="I312" s="320"/>
      <c r="J312" s="320"/>
      <c r="K312" s="320"/>
      <c r="L312" s="320"/>
      <c r="M312" s="320"/>
      <c r="N312" s="320"/>
      <c r="O312" s="321"/>
      <c r="P312" s="321"/>
      <c r="Y312" s="326"/>
      <c r="Z312" s="326"/>
      <c r="AA312" s="326"/>
      <c r="AB312" s="326"/>
      <c r="AC312" s="326"/>
      <c r="AD312" s="326"/>
      <c r="AG312" s="326"/>
      <c r="AH312" s="326"/>
      <c r="AI312" s="326"/>
      <c r="AL312" s="326"/>
      <c r="AM312" s="326"/>
      <c r="AN312" s="326"/>
    </row>
    <row r="313" spans="1:40" x14ac:dyDescent="0.15">
      <c r="A313" s="318"/>
      <c r="B313" s="320"/>
      <c r="C313" s="320"/>
      <c r="D313" s="320"/>
      <c r="E313" s="320"/>
      <c r="F313" s="320"/>
      <c r="G313" s="320"/>
      <c r="H313" s="320"/>
      <c r="I313" s="320"/>
      <c r="J313" s="320"/>
      <c r="K313" s="320"/>
      <c r="L313" s="320"/>
      <c r="M313" s="320"/>
      <c r="N313" s="320"/>
      <c r="O313" s="321"/>
      <c r="P313" s="321"/>
      <c r="Y313" s="326"/>
      <c r="Z313" s="326"/>
      <c r="AA313" s="326"/>
      <c r="AB313" s="326"/>
      <c r="AC313" s="326"/>
      <c r="AD313" s="326"/>
      <c r="AG313" s="326"/>
      <c r="AH313" s="326"/>
      <c r="AI313" s="326"/>
      <c r="AL313" s="326"/>
      <c r="AM313" s="326"/>
      <c r="AN313" s="326"/>
    </row>
    <row r="314" spans="1:40" x14ac:dyDescent="0.15">
      <c r="A314" s="318"/>
      <c r="B314" s="320"/>
      <c r="C314" s="320"/>
      <c r="D314" s="320"/>
      <c r="E314" s="320"/>
      <c r="F314" s="320"/>
      <c r="G314" s="320"/>
      <c r="H314" s="320"/>
      <c r="I314" s="320"/>
      <c r="J314" s="320"/>
      <c r="K314" s="320"/>
      <c r="L314" s="320"/>
      <c r="M314" s="320"/>
      <c r="N314" s="320"/>
      <c r="O314" s="321"/>
      <c r="P314" s="321"/>
      <c r="Y314" s="326"/>
      <c r="Z314" s="326"/>
      <c r="AA314" s="326"/>
      <c r="AB314" s="326"/>
      <c r="AC314" s="326"/>
      <c r="AD314" s="326"/>
      <c r="AG314" s="326"/>
      <c r="AH314" s="326"/>
      <c r="AI314" s="326"/>
      <c r="AL314" s="326"/>
      <c r="AM314" s="326"/>
      <c r="AN314" s="326"/>
    </row>
    <row r="315" spans="1:40" x14ac:dyDescent="0.15">
      <c r="A315" s="318"/>
      <c r="B315" s="320"/>
      <c r="C315" s="320"/>
      <c r="D315" s="320"/>
      <c r="E315" s="320"/>
      <c r="F315" s="320"/>
      <c r="G315" s="320"/>
      <c r="H315" s="320"/>
      <c r="I315" s="320"/>
      <c r="J315" s="320"/>
      <c r="K315" s="320"/>
      <c r="L315" s="320"/>
      <c r="M315" s="320"/>
      <c r="N315" s="320"/>
      <c r="O315" s="321"/>
      <c r="P315" s="321"/>
      <c r="Y315" s="326"/>
      <c r="Z315" s="326"/>
      <c r="AB315" s="326"/>
      <c r="AC315" s="326"/>
      <c r="AD315" s="326"/>
      <c r="AG315" s="326"/>
      <c r="AH315" s="326"/>
      <c r="AI315" s="326"/>
      <c r="AL315" s="326"/>
      <c r="AM315" s="326"/>
      <c r="AN315" s="326"/>
    </row>
    <row r="316" spans="1:40" x14ac:dyDescent="0.15">
      <c r="A316" s="318"/>
      <c r="B316" s="320"/>
      <c r="C316" s="320"/>
      <c r="D316" s="320"/>
      <c r="E316" s="320"/>
      <c r="F316" s="320"/>
      <c r="G316" s="320"/>
      <c r="H316" s="320"/>
      <c r="I316" s="320"/>
      <c r="J316" s="320"/>
      <c r="K316" s="320"/>
      <c r="L316" s="320"/>
      <c r="M316" s="320"/>
      <c r="N316" s="320"/>
      <c r="O316" s="321"/>
      <c r="P316" s="321"/>
      <c r="Y316" s="326"/>
      <c r="Z316" s="326"/>
      <c r="AA316" s="326"/>
      <c r="AB316" s="326"/>
      <c r="AC316" s="326"/>
      <c r="AD316" s="326"/>
      <c r="AG316" s="326"/>
      <c r="AH316" s="326"/>
      <c r="AI316" s="326"/>
      <c r="AL316" s="326"/>
      <c r="AM316" s="326"/>
      <c r="AN316" s="326"/>
    </row>
    <row r="317" spans="1:40" x14ac:dyDescent="0.15">
      <c r="A317" s="318"/>
      <c r="B317" s="320"/>
      <c r="C317" s="320"/>
      <c r="D317" s="320"/>
      <c r="E317" s="320"/>
      <c r="F317" s="320"/>
      <c r="G317" s="320"/>
      <c r="H317" s="320"/>
      <c r="I317" s="320"/>
      <c r="J317" s="320"/>
      <c r="K317" s="320"/>
      <c r="L317" s="320"/>
      <c r="M317" s="320"/>
      <c r="N317" s="320"/>
      <c r="O317" s="321"/>
      <c r="P317" s="321"/>
      <c r="Y317" s="326"/>
      <c r="Z317" s="326"/>
      <c r="AA317" s="326"/>
      <c r="AB317" s="326"/>
      <c r="AC317" s="326"/>
      <c r="AD317" s="326"/>
      <c r="AG317" s="326"/>
      <c r="AH317" s="326"/>
      <c r="AI317" s="326"/>
      <c r="AL317" s="326"/>
      <c r="AM317" s="326"/>
      <c r="AN317" s="326"/>
    </row>
    <row r="318" spans="1:40" x14ac:dyDescent="0.15">
      <c r="A318" s="318"/>
      <c r="B318" s="320"/>
      <c r="C318" s="320"/>
      <c r="D318" s="320"/>
      <c r="E318" s="320"/>
      <c r="F318" s="320"/>
      <c r="G318" s="320"/>
      <c r="H318" s="320"/>
      <c r="I318" s="320"/>
      <c r="J318" s="320"/>
      <c r="K318" s="320"/>
      <c r="L318" s="320"/>
      <c r="M318" s="320"/>
      <c r="N318" s="320"/>
      <c r="O318" s="321"/>
      <c r="P318" s="321"/>
      <c r="Y318" s="326"/>
      <c r="Z318" s="326"/>
      <c r="AB318" s="326"/>
      <c r="AC318" s="326"/>
      <c r="AD318" s="326"/>
      <c r="AG318" s="326"/>
      <c r="AH318" s="326"/>
      <c r="AI318" s="326"/>
      <c r="AL318" s="326"/>
      <c r="AM318" s="326"/>
      <c r="AN318" s="326"/>
    </row>
    <row r="319" spans="1:40" x14ac:dyDescent="0.15">
      <c r="A319" s="318"/>
      <c r="B319" s="320"/>
      <c r="C319" s="320"/>
      <c r="D319" s="320"/>
      <c r="E319" s="320"/>
      <c r="F319" s="320"/>
      <c r="G319" s="320"/>
      <c r="H319" s="320"/>
      <c r="I319" s="320"/>
      <c r="J319" s="320"/>
      <c r="K319" s="320"/>
      <c r="L319" s="320"/>
      <c r="M319" s="320"/>
      <c r="N319" s="320"/>
      <c r="O319" s="321"/>
      <c r="P319" s="321"/>
      <c r="Y319" s="326"/>
      <c r="Z319" s="326"/>
      <c r="AA319" s="326"/>
      <c r="AB319" s="326"/>
      <c r="AC319" s="326"/>
      <c r="AD319" s="326"/>
      <c r="AG319" s="326"/>
      <c r="AH319" s="326"/>
      <c r="AI319" s="326"/>
      <c r="AL319" s="326"/>
      <c r="AM319" s="326"/>
      <c r="AN319" s="326"/>
    </row>
    <row r="320" spans="1:40" x14ac:dyDescent="0.15">
      <c r="A320" s="318"/>
      <c r="B320" s="320"/>
      <c r="C320" s="320"/>
      <c r="D320" s="320"/>
      <c r="E320" s="320"/>
      <c r="F320" s="320"/>
      <c r="G320" s="320"/>
      <c r="H320" s="320"/>
      <c r="I320" s="320"/>
      <c r="J320" s="320"/>
      <c r="K320" s="320"/>
      <c r="L320" s="320"/>
      <c r="M320" s="320"/>
      <c r="N320" s="320"/>
      <c r="O320" s="321"/>
      <c r="P320" s="321"/>
      <c r="Y320" s="326"/>
      <c r="Z320" s="326"/>
      <c r="AA320" s="326"/>
      <c r="AB320" s="326"/>
      <c r="AC320" s="326"/>
      <c r="AD320" s="326"/>
      <c r="AG320" s="326"/>
      <c r="AH320" s="326"/>
      <c r="AI320" s="326"/>
      <c r="AL320" s="326"/>
      <c r="AM320" s="326"/>
      <c r="AN320" s="326"/>
    </row>
    <row r="321" spans="1:40" x14ac:dyDescent="0.15">
      <c r="A321" s="318"/>
      <c r="B321" s="320"/>
      <c r="C321" s="320"/>
      <c r="D321" s="320"/>
      <c r="E321" s="320"/>
      <c r="F321" s="320"/>
      <c r="G321" s="320"/>
      <c r="H321" s="320"/>
      <c r="I321" s="320"/>
      <c r="J321" s="320"/>
      <c r="K321" s="320"/>
      <c r="L321" s="320"/>
      <c r="M321" s="320"/>
      <c r="N321" s="320"/>
      <c r="O321" s="321"/>
      <c r="P321" s="321"/>
      <c r="Y321" s="326"/>
      <c r="Z321" s="326"/>
      <c r="AA321" s="326"/>
      <c r="AB321" s="326"/>
      <c r="AC321" s="326"/>
      <c r="AD321" s="326"/>
      <c r="AG321" s="326"/>
      <c r="AH321" s="326"/>
      <c r="AI321" s="326"/>
      <c r="AL321" s="326"/>
      <c r="AM321" s="326"/>
      <c r="AN321" s="326"/>
    </row>
    <row r="322" spans="1:40" x14ac:dyDescent="0.15">
      <c r="A322" s="318"/>
      <c r="B322" s="320"/>
      <c r="C322" s="320"/>
      <c r="D322" s="320"/>
      <c r="E322" s="320"/>
      <c r="F322" s="320"/>
      <c r="G322" s="320"/>
      <c r="H322" s="320"/>
      <c r="I322" s="320"/>
      <c r="J322" s="320"/>
      <c r="K322" s="320"/>
      <c r="L322" s="320"/>
      <c r="M322" s="320"/>
      <c r="N322" s="320"/>
      <c r="O322" s="321"/>
      <c r="P322" s="321"/>
      <c r="Y322" s="326"/>
      <c r="Z322" s="326"/>
      <c r="AA322" s="326"/>
      <c r="AB322" s="326"/>
      <c r="AC322" s="326"/>
      <c r="AD322" s="326"/>
      <c r="AG322" s="326"/>
      <c r="AH322" s="326"/>
      <c r="AI322" s="326"/>
      <c r="AL322" s="326"/>
      <c r="AM322" s="326"/>
      <c r="AN322" s="326"/>
    </row>
    <row r="323" spans="1:40" x14ac:dyDescent="0.15">
      <c r="A323" s="318"/>
      <c r="B323" s="320"/>
      <c r="C323" s="320"/>
      <c r="D323" s="320"/>
      <c r="E323" s="320"/>
      <c r="F323" s="320"/>
      <c r="G323" s="320"/>
      <c r="H323" s="320"/>
      <c r="I323" s="320"/>
      <c r="J323" s="320"/>
      <c r="K323" s="320"/>
      <c r="L323" s="320"/>
      <c r="M323" s="320"/>
      <c r="N323" s="320"/>
      <c r="O323" s="321"/>
      <c r="P323" s="321"/>
      <c r="Y323" s="326"/>
      <c r="Z323" s="326"/>
      <c r="AA323" s="326"/>
      <c r="AB323" s="326"/>
      <c r="AC323" s="326"/>
      <c r="AD323" s="326"/>
      <c r="AG323" s="326"/>
      <c r="AH323" s="326"/>
      <c r="AI323" s="326"/>
      <c r="AL323" s="326"/>
      <c r="AM323" s="326"/>
      <c r="AN323" s="326"/>
    </row>
    <row r="324" spans="1:40" x14ac:dyDescent="0.15">
      <c r="A324" s="318"/>
      <c r="B324" s="320"/>
      <c r="C324" s="320"/>
      <c r="D324" s="320"/>
      <c r="E324" s="320"/>
      <c r="F324" s="320"/>
      <c r="G324" s="320"/>
      <c r="H324" s="320"/>
      <c r="I324" s="320"/>
      <c r="J324" s="320"/>
      <c r="K324" s="320"/>
      <c r="L324" s="320"/>
      <c r="M324" s="320"/>
      <c r="N324" s="320"/>
      <c r="O324" s="321"/>
      <c r="P324" s="321"/>
      <c r="Y324" s="326"/>
      <c r="Z324" s="326"/>
      <c r="AA324" s="326"/>
      <c r="AB324" s="326"/>
      <c r="AC324" s="326"/>
      <c r="AD324" s="326"/>
      <c r="AG324" s="326"/>
      <c r="AH324" s="326"/>
      <c r="AI324" s="326"/>
      <c r="AL324" s="326"/>
      <c r="AM324" s="326"/>
      <c r="AN324" s="326"/>
    </row>
    <row r="325" spans="1:40" x14ac:dyDescent="0.15">
      <c r="A325" s="318"/>
      <c r="B325" s="320"/>
      <c r="C325" s="320"/>
      <c r="D325" s="320"/>
      <c r="E325" s="320"/>
      <c r="F325" s="320"/>
      <c r="G325" s="320"/>
      <c r="H325" s="320"/>
      <c r="I325" s="320"/>
      <c r="J325" s="320"/>
      <c r="K325" s="320"/>
      <c r="L325" s="320"/>
      <c r="M325" s="320"/>
      <c r="N325" s="320"/>
      <c r="O325" s="321"/>
      <c r="P325" s="321"/>
      <c r="Y325" s="326"/>
      <c r="Z325" s="326"/>
      <c r="AB325" s="326"/>
      <c r="AC325" s="326"/>
      <c r="AD325" s="326"/>
      <c r="AG325" s="326"/>
      <c r="AH325" s="326"/>
      <c r="AI325" s="326"/>
      <c r="AL325" s="326"/>
      <c r="AM325" s="326"/>
      <c r="AN325" s="326"/>
    </row>
    <row r="326" spans="1:40" x14ac:dyDescent="0.15">
      <c r="A326" s="318"/>
      <c r="B326" s="320"/>
      <c r="C326" s="320"/>
      <c r="D326" s="320"/>
      <c r="E326" s="320"/>
      <c r="F326" s="320"/>
      <c r="G326" s="320"/>
      <c r="H326" s="320"/>
      <c r="I326" s="320"/>
      <c r="J326" s="320"/>
      <c r="K326" s="320"/>
      <c r="L326" s="320"/>
      <c r="M326" s="320"/>
      <c r="N326" s="320"/>
      <c r="O326" s="321"/>
      <c r="P326" s="321"/>
      <c r="Y326" s="326"/>
      <c r="Z326" s="326"/>
      <c r="AB326" s="326"/>
      <c r="AC326" s="326"/>
      <c r="AD326" s="326"/>
      <c r="AG326" s="326"/>
      <c r="AH326" s="326"/>
      <c r="AI326" s="326"/>
      <c r="AL326" s="326"/>
      <c r="AM326" s="326"/>
      <c r="AN326" s="326"/>
    </row>
    <row r="327" spans="1:40" x14ac:dyDescent="0.15">
      <c r="A327" s="318"/>
      <c r="B327" s="320"/>
      <c r="C327" s="320"/>
      <c r="D327" s="320"/>
      <c r="E327" s="320"/>
      <c r="F327" s="320"/>
      <c r="G327" s="320"/>
      <c r="H327" s="320"/>
      <c r="I327" s="320"/>
      <c r="J327" s="320"/>
      <c r="K327" s="320"/>
      <c r="L327" s="320"/>
      <c r="M327" s="320"/>
      <c r="N327" s="320"/>
      <c r="O327" s="321"/>
      <c r="P327" s="321"/>
      <c r="Y327" s="326"/>
      <c r="Z327" s="326"/>
      <c r="AB327" s="326"/>
      <c r="AC327" s="326"/>
      <c r="AD327" s="326"/>
      <c r="AG327" s="326"/>
      <c r="AH327" s="326"/>
      <c r="AI327" s="326"/>
      <c r="AL327" s="326"/>
      <c r="AM327" s="326"/>
      <c r="AN327" s="326"/>
    </row>
    <row r="328" spans="1:40" x14ac:dyDescent="0.15">
      <c r="A328" s="318"/>
      <c r="B328" s="320"/>
      <c r="C328" s="320"/>
      <c r="D328" s="320"/>
      <c r="E328" s="320"/>
      <c r="F328" s="320"/>
      <c r="G328" s="320"/>
      <c r="H328" s="320"/>
      <c r="I328" s="320"/>
      <c r="J328" s="320"/>
      <c r="K328" s="320"/>
      <c r="L328" s="320"/>
      <c r="M328" s="320"/>
      <c r="N328" s="320"/>
      <c r="O328" s="321"/>
      <c r="P328" s="321"/>
      <c r="Y328" s="326"/>
      <c r="Z328" s="326"/>
      <c r="AA328" s="326"/>
      <c r="AB328" s="326"/>
      <c r="AC328" s="326"/>
      <c r="AD328" s="326"/>
      <c r="AG328" s="326"/>
      <c r="AH328" s="326"/>
      <c r="AI328" s="326"/>
      <c r="AL328" s="326"/>
      <c r="AM328" s="326"/>
      <c r="AN328" s="326"/>
    </row>
    <row r="329" spans="1:40" x14ac:dyDescent="0.15">
      <c r="A329" s="318"/>
      <c r="B329" s="320"/>
      <c r="C329" s="320"/>
      <c r="D329" s="320"/>
      <c r="E329" s="320"/>
      <c r="F329" s="320"/>
      <c r="G329" s="320"/>
      <c r="H329" s="320"/>
      <c r="I329" s="320"/>
      <c r="J329" s="320"/>
      <c r="K329" s="320"/>
      <c r="L329" s="320"/>
      <c r="M329" s="320"/>
      <c r="N329" s="320"/>
      <c r="O329" s="321"/>
      <c r="P329" s="321"/>
      <c r="Y329" s="326"/>
      <c r="Z329" s="326"/>
      <c r="AB329" s="326"/>
      <c r="AC329" s="326"/>
      <c r="AD329" s="326"/>
      <c r="AG329" s="326"/>
      <c r="AH329" s="326"/>
      <c r="AI329" s="326"/>
      <c r="AL329" s="326"/>
      <c r="AM329" s="326"/>
      <c r="AN329" s="326"/>
    </row>
    <row r="330" spans="1:40" x14ac:dyDescent="0.15">
      <c r="A330" s="318"/>
      <c r="B330" s="320"/>
      <c r="C330" s="320"/>
      <c r="D330" s="320"/>
      <c r="E330" s="320"/>
      <c r="F330" s="320"/>
      <c r="G330" s="320"/>
      <c r="H330" s="320"/>
      <c r="I330" s="320"/>
      <c r="J330" s="320"/>
      <c r="K330" s="320"/>
      <c r="L330" s="320"/>
      <c r="M330" s="320"/>
      <c r="N330" s="320"/>
      <c r="O330" s="321"/>
      <c r="P330" s="321"/>
      <c r="Y330" s="326"/>
      <c r="Z330" s="326"/>
      <c r="AA330" s="326"/>
      <c r="AB330" s="326"/>
      <c r="AC330" s="326"/>
      <c r="AD330" s="326"/>
      <c r="AG330" s="326"/>
      <c r="AH330" s="326"/>
      <c r="AI330" s="326"/>
      <c r="AL330" s="326"/>
      <c r="AM330" s="326"/>
      <c r="AN330" s="326"/>
    </row>
    <row r="331" spans="1:40" x14ac:dyDescent="0.15">
      <c r="A331" s="318"/>
      <c r="B331" s="320"/>
      <c r="C331" s="320"/>
      <c r="D331" s="320"/>
      <c r="E331" s="320"/>
      <c r="F331" s="320"/>
      <c r="G331" s="320"/>
      <c r="H331" s="320"/>
      <c r="I331" s="320"/>
      <c r="J331" s="320"/>
      <c r="K331" s="320"/>
      <c r="L331" s="320"/>
      <c r="M331" s="320"/>
      <c r="N331" s="320"/>
      <c r="O331" s="321"/>
      <c r="P331" s="321"/>
      <c r="Y331" s="326"/>
      <c r="Z331" s="326"/>
      <c r="AA331" s="326"/>
      <c r="AB331" s="326"/>
      <c r="AC331" s="326"/>
      <c r="AD331" s="326"/>
      <c r="AG331" s="326"/>
      <c r="AH331" s="326"/>
      <c r="AI331" s="326"/>
      <c r="AL331" s="326"/>
      <c r="AM331" s="326"/>
      <c r="AN331" s="326"/>
    </row>
    <row r="332" spans="1:40" x14ac:dyDescent="0.15">
      <c r="A332" s="318"/>
      <c r="B332" s="320"/>
      <c r="C332" s="320"/>
      <c r="D332" s="320"/>
      <c r="E332" s="320"/>
      <c r="F332" s="320"/>
      <c r="G332" s="320"/>
      <c r="H332" s="320"/>
      <c r="I332" s="320"/>
      <c r="J332" s="320"/>
      <c r="K332" s="320"/>
      <c r="L332" s="320"/>
      <c r="M332" s="320"/>
      <c r="N332" s="320"/>
      <c r="O332" s="321"/>
      <c r="P332" s="321"/>
      <c r="Y332" s="326"/>
      <c r="Z332" s="326"/>
      <c r="AA332" s="326"/>
      <c r="AB332" s="326"/>
      <c r="AC332" s="326"/>
      <c r="AD332" s="326"/>
      <c r="AG332" s="326"/>
      <c r="AH332" s="326"/>
      <c r="AI332" s="326"/>
      <c r="AL332" s="326"/>
      <c r="AM332" s="326"/>
      <c r="AN332" s="326"/>
    </row>
    <row r="333" spans="1:40" x14ac:dyDescent="0.15">
      <c r="A333" s="318"/>
      <c r="B333" s="320"/>
      <c r="C333" s="320"/>
      <c r="D333" s="320"/>
      <c r="E333" s="320"/>
      <c r="F333" s="320"/>
      <c r="G333" s="320"/>
      <c r="H333" s="320"/>
      <c r="I333" s="320"/>
      <c r="J333" s="320"/>
      <c r="K333" s="320"/>
      <c r="L333" s="320"/>
      <c r="M333" s="320"/>
      <c r="N333" s="320"/>
      <c r="O333" s="321"/>
      <c r="P333" s="321"/>
      <c r="Y333" s="326"/>
      <c r="Z333" s="326"/>
      <c r="AA333" s="326"/>
      <c r="AB333" s="326"/>
      <c r="AC333" s="326"/>
      <c r="AD333" s="326"/>
      <c r="AG333" s="326"/>
      <c r="AH333" s="326"/>
      <c r="AI333" s="326"/>
      <c r="AL333" s="326"/>
      <c r="AM333" s="326"/>
      <c r="AN333" s="326"/>
    </row>
    <row r="334" spans="1:40" x14ac:dyDescent="0.15">
      <c r="A334" s="318"/>
      <c r="B334" s="320"/>
      <c r="C334" s="320"/>
      <c r="D334" s="320"/>
      <c r="E334" s="320"/>
      <c r="F334" s="320"/>
      <c r="G334" s="320"/>
      <c r="H334" s="320"/>
      <c r="I334" s="320"/>
      <c r="J334" s="320"/>
      <c r="K334" s="320"/>
      <c r="L334" s="320"/>
      <c r="M334" s="320"/>
      <c r="N334" s="320"/>
      <c r="O334" s="321"/>
      <c r="P334" s="321"/>
      <c r="Y334" s="326"/>
      <c r="Z334" s="326"/>
      <c r="AB334" s="326"/>
      <c r="AC334" s="326"/>
      <c r="AD334" s="326"/>
      <c r="AG334" s="326"/>
      <c r="AH334" s="326"/>
      <c r="AI334" s="326"/>
      <c r="AL334" s="326"/>
      <c r="AM334" s="326"/>
      <c r="AN334" s="326"/>
    </row>
    <row r="335" spans="1:40" x14ac:dyDescent="0.15">
      <c r="A335" s="318"/>
      <c r="B335" s="320"/>
      <c r="C335" s="320"/>
      <c r="D335" s="320"/>
      <c r="E335" s="320"/>
      <c r="F335" s="320"/>
      <c r="G335" s="320"/>
      <c r="H335" s="320"/>
      <c r="I335" s="320"/>
      <c r="J335" s="320"/>
      <c r="K335" s="320"/>
      <c r="L335" s="320"/>
      <c r="M335" s="320"/>
      <c r="N335" s="320"/>
      <c r="O335" s="321"/>
      <c r="P335" s="321"/>
      <c r="Y335" s="326"/>
      <c r="Z335" s="326"/>
      <c r="AA335" s="326"/>
      <c r="AB335" s="326"/>
      <c r="AC335" s="326"/>
      <c r="AD335" s="326"/>
      <c r="AG335" s="326"/>
      <c r="AH335" s="326"/>
      <c r="AI335" s="326"/>
      <c r="AL335" s="326"/>
      <c r="AM335" s="326"/>
      <c r="AN335" s="326"/>
    </row>
    <row r="336" spans="1:40" x14ac:dyDescent="0.15">
      <c r="A336" s="318"/>
      <c r="B336" s="320"/>
      <c r="C336" s="320"/>
      <c r="D336" s="320"/>
      <c r="E336" s="320"/>
      <c r="F336" s="320"/>
      <c r="G336" s="320"/>
      <c r="H336" s="320"/>
      <c r="I336" s="320"/>
      <c r="J336" s="320"/>
      <c r="K336" s="320"/>
      <c r="L336" s="320"/>
      <c r="M336" s="320"/>
      <c r="N336" s="320"/>
      <c r="O336" s="321"/>
      <c r="P336" s="321"/>
      <c r="Y336" s="326"/>
      <c r="Z336" s="326"/>
      <c r="AB336" s="326"/>
      <c r="AC336" s="326"/>
      <c r="AD336" s="326"/>
      <c r="AG336" s="326"/>
      <c r="AH336" s="326"/>
      <c r="AI336" s="326"/>
      <c r="AL336" s="326"/>
      <c r="AM336" s="326"/>
      <c r="AN336" s="326"/>
    </row>
    <row r="337" spans="1:40" x14ac:dyDescent="0.15">
      <c r="A337" s="318"/>
      <c r="B337" s="320"/>
      <c r="C337" s="320"/>
      <c r="D337" s="320"/>
      <c r="E337" s="320"/>
      <c r="F337" s="320"/>
      <c r="G337" s="320"/>
      <c r="H337" s="320"/>
      <c r="I337" s="320"/>
      <c r="J337" s="320"/>
      <c r="K337" s="320"/>
      <c r="L337" s="320"/>
      <c r="M337" s="320"/>
      <c r="N337" s="320"/>
      <c r="O337" s="321"/>
      <c r="P337" s="321"/>
      <c r="Y337" s="326"/>
      <c r="Z337" s="326"/>
      <c r="AA337" s="326"/>
      <c r="AB337" s="326"/>
      <c r="AC337" s="326"/>
      <c r="AD337" s="326"/>
      <c r="AG337" s="326"/>
      <c r="AH337" s="326"/>
      <c r="AI337" s="326"/>
      <c r="AL337" s="326"/>
      <c r="AM337" s="326"/>
      <c r="AN337" s="326"/>
    </row>
    <row r="338" spans="1:40" x14ac:dyDescent="0.15">
      <c r="A338" s="318"/>
      <c r="B338" s="320"/>
      <c r="C338" s="320"/>
      <c r="D338" s="320"/>
      <c r="E338" s="320"/>
      <c r="F338" s="320"/>
      <c r="G338" s="320"/>
      <c r="H338" s="320"/>
      <c r="I338" s="320"/>
      <c r="J338" s="320"/>
      <c r="K338" s="320"/>
      <c r="L338" s="320"/>
      <c r="M338" s="320"/>
      <c r="N338" s="320"/>
      <c r="O338" s="321"/>
      <c r="P338" s="321"/>
      <c r="Y338" s="326"/>
      <c r="Z338" s="326"/>
      <c r="AA338" s="326"/>
      <c r="AB338" s="326"/>
      <c r="AC338" s="326"/>
      <c r="AD338" s="326"/>
      <c r="AG338" s="326"/>
      <c r="AH338" s="326"/>
      <c r="AI338" s="326"/>
      <c r="AL338" s="326"/>
      <c r="AM338" s="326"/>
      <c r="AN338" s="326"/>
    </row>
    <row r="339" spans="1:40" x14ac:dyDescent="0.15">
      <c r="A339" s="318"/>
      <c r="B339" s="320"/>
      <c r="C339" s="320"/>
      <c r="D339" s="320"/>
      <c r="E339" s="320"/>
      <c r="F339" s="320"/>
      <c r="G339" s="320"/>
      <c r="H339" s="320"/>
      <c r="I339" s="320"/>
      <c r="J339" s="320"/>
      <c r="K339" s="320"/>
      <c r="L339" s="320"/>
      <c r="M339" s="320"/>
      <c r="N339" s="320"/>
      <c r="O339" s="321"/>
      <c r="P339" s="321"/>
      <c r="Y339" s="326"/>
      <c r="Z339" s="326"/>
      <c r="AB339" s="326"/>
      <c r="AC339" s="326"/>
      <c r="AD339" s="326"/>
      <c r="AG339" s="326"/>
      <c r="AH339" s="326"/>
      <c r="AI339" s="326"/>
      <c r="AL339" s="326"/>
      <c r="AM339" s="326"/>
      <c r="AN339" s="326"/>
    </row>
    <row r="340" spans="1:40" x14ac:dyDescent="0.15">
      <c r="A340" s="318"/>
      <c r="B340" s="320"/>
      <c r="C340" s="320"/>
      <c r="D340" s="320"/>
      <c r="E340" s="320"/>
      <c r="F340" s="320"/>
      <c r="G340" s="320"/>
      <c r="H340" s="320"/>
      <c r="I340" s="320"/>
      <c r="J340" s="320"/>
      <c r="K340" s="320"/>
      <c r="L340" s="320"/>
      <c r="M340" s="320"/>
      <c r="N340" s="320"/>
      <c r="O340" s="321"/>
      <c r="P340" s="321"/>
      <c r="Y340" s="326"/>
      <c r="Z340" s="326"/>
      <c r="AA340" s="326"/>
      <c r="AB340" s="326"/>
      <c r="AC340" s="326"/>
      <c r="AD340" s="326"/>
      <c r="AG340" s="326"/>
      <c r="AH340" s="326"/>
      <c r="AI340" s="326"/>
      <c r="AL340" s="326"/>
      <c r="AM340" s="326"/>
      <c r="AN340" s="326"/>
    </row>
    <row r="341" spans="1:40" x14ac:dyDescent="0.15">
      <c r="A341" s="318"/>
      <c r="B341" s="320"/>
      <c r="C341" s="320"/>
      <c r="D341" s="320"/>
      <c r="E341" s="320"/>
      <c r="F341" s="320"/>
      <c r="G341" s="320"/>
      <c r="H341" s="320"/>
      <c r="I341" s="320"/>
      <c r="J341" s="320"/>
      <c r="K341" s="320"/>
      <c r="L341" s="320"/>
      <c r="M341" s="320"/>
      <c r="N341" s="320"/>
      <c r="O341" s="321"/>
      <c r="P341" s="321"/>
      <c r="Y341" s="326"/>
      <c r="Z341" s="326"/>
      <c r="AA341" s="326"/>
      <c r="AB341" s="326"/>
      <c r="AC341" s="326"/>
      <c r="AD341" s="326"/>
      <c r="AG341" s="326"/>
      <c r="AH341" s="326"/>
      <c r="AI341" s="326"/>
      <c r="AL341" s="326"/>
      <c r="AM341" s="326"/>
      <c r="AN341" s="326"/>
    </row>
    <row r="342" spans="1:40" x14ac:dyDescent="0.15">
      <c r="A342" s="318"/>
      <c r="B342" s="320"/>
      <c r="C342" s="320"/>
      <c r="D342" s="320"/>
      <c r="E342" s="320"/>
      <c r="F342" s="320"/>
      <c r="G342" s="320"/>
      <c r="H342" s="320"/>
      <c r="I342" s="320"/>
      <c r="J342" s="320"/>
      <c r="K342" s="320"/>
      <c r="L342" s="320"/>
      <c r="M342" s="320"/>
      <c r="N342" s="320"/>
      <c r="O342" s="321"/>
      <c r="P342" s="321"/>
      <c r="Y342" s="326"/>
      <c r="Z342" s="326"/>
      <c r="AA342" s="326"/>
      <c r="AB342" s="326"/>
      <c r="AC342" s="326"/>
      <c r="AD342" s="326"/>
      <c r="AG342" s="326"/>
      <c r="AH342" s="326"/>
      <c r="AI342" s="326"/>
      <c r="AL342" s="326"/>
      <c r="AM342" s="326"/>
      <c r="AN342" s="326"/>
    </row>
    <row r="343" spans="1:40" x14ac:dyDescent="0.15">
      <c r="A343" s="318"/>
      <c r="B343" s="320"/>
      <c r="C343" s="320"/>
      <c r="D343" s="320"/>
      <c r="E343" s="320"/>
      <c r="F343" s="320"/>
      <c r="G343" s="320"/>
      <c r="H343" s="320"/>
      <c r="I343" s="320"/>
      <c r="J343" s="320"/>
      <c r="K343" s="320"/>
      <c r="L343" s="320"/>
      <c r="M343" s="320"/>
      <c r="N343" s="320"/>
      <c r="O343" s="321"/>
      <c r="P343" s="321"/>
      <c r="Y343" s="326"/>
      <c r="Z343" s="326"/>
      <c r="AA343" s="326"/>
      <c r="AB343" s="326"/>
      <c r="AC343" s="326"/>
      <c r="AD343" s="326"/>
      <c r="AG343" s="326"/>
      <c r="AH343" s="326"/>
      <c r="AI343" s="326"/>
      <c r="AL343" s="326"/>
      <c r="AM343" s="326"/>
      <c r="AN343" s="326"/>
    </row>
    <row r="344" spans="1:40" x14ac:dyDescent="0.15">
      <c r="A344" s="318"/>
      <c r="B344" s="320"/>
      <c r="C344" s="320"/>
      <c r="D344" s="320"/>
      <c r="E344" s="320"/>
      <c r="F344" s="320"/>
      <c r="G344" s="320"/>
      <c r="H344" s="320"/>
      <c r="I344" s="320"/>
      <c r="J344" s="320"/>
      <c r="K344" s="320"/>
      <c r="L344" s="320"/>
      <c r="M344" s="320"/>
      <c r="N344" s="320"/>
      <c r="O344" s="321"/>
      <c r="P344" s="321"/>
      <c r="Y344" s="326"/>
      <c r="Z344" s="326"/>
      <c r="AA344" s="326"/>
      <c r="AB344" s="326"/>
      <c r="AC344" s="326"/>
      <c r="AD344" s="326"/>
      <c r="AG344" s="326"/>
      <c r="AH344" s="326"/>
      <c r="AI344" s="326"/>
      <c r="AL344" s="326"/>
      <c r="AM344" s="326"/>
      <c r="AN344" s="326"/>
    </row>
    <row r="345" spans="1:40" x14ac:dyDescent="0.15">
      <c r="A345" s="318"/>
      <c r="B345" s="320"/>
      <c r="C345" s="320"/>
      <c r="D345" s="320"/>
      <c r="E345" s="320"/>
      <c r="F345" s="320"/>
      <c r="G345" s="320"/>
      <c r="H345" s="320"/>
      <c r="I345" s="320"/>
      <c r="J345" s="320"/>
      <c r="K345" s="320"/>
      <c r="L345" s="320"/>
      <c r="M345" s="320"/>
      <c r="N345" s="320"/>
      <c r="O345" s="321"/>
      <c r="P345" s="321"/>
      <c r="Y345" s="326"/>
      <c r="Z345" s="326"/>
      <c r="AA345" s="326"/>
      <c r="AB345" s="326"/>
      <c r="AC345" s="326"/>
      <c r="AD345" s="326"/>
      <c r="AG345" s="326"/>
      <c r="AH345" s="326"/>
      <c r="AI345" s="326"/>
      <c r="AL345" s="326"/>
      <c r="AM345" s="326"/>
      <c r="AN345" s="326"/>
    </row>
    <row r="346" spans="1:40" x14ac:dyDescent="0.15">
      <c r="A346" s="318"/>
      <c r="B346" s="320"/>
      <c r="C346" s="320"/>
      <c r="D346" s="320"/>
      <c r="E346" s="320"/>
      <c r="F346" s="320"/>
      <c r="G346" s="320"/>
      <c r="H346" s="320"/>
      <c r="I346" s="320"/>
      <c r="J346" s="320"/>
      <c r="K346" s="320"/>
      <c r="L346" s="320"/>
      <c r="M346" s="320"/>
      <c r="N346" s="320"/>
      <c r="O346" s="321"/>
      <c r="P346" s="321"/>
      <c r="Y346" s="326"/>
      <c r="Z346" s="326"/>
      <c r="AA346" s="326"/>
      <c r="AB346" s="326"/>
      <c r="AC346" s="326"/>
      <c r="AD346" s="326"/>
      <c r="AG346" s="326"/>
      <c r="AH346" s="326"/>
      <c r="AI346" s="326"/>
      <c r="AL346" s="326"/>
      <c r="AM346" s="326"/>
      <c r="AN346" s="326"/>
    </row>
    <row r="347" spans="1:40" x14ac:dyDescent="0.15">
      <c r="A347" s="318"/>
      <c r="B347" s="320"/>
      <c r="C347" s="320"/>
      <c r="D347" s="320"/>
      <c r="E347" s="320"/>
      <c r="F347" s="320"/>
      <c r="G347" s="320"/>
      <c r="H347" s="320"/>
      <c r="I347" s="320"/>
      <c r="J347" s="320"/>
      <c r="K347" s="320"/>
      <c r="L347" s="320"/>
      <c r="M347" s="320"/>
      <c r="N347" s="320"/>
      <c r="O347" s="321"/>
      <c r="P347" s="321"/>
      <c r="Y347" s="326"/>
      <c r="Z347" s="326"/>
      <c r="AB347" s="326"/>
      <c r="AC347" s="326"/>
      <c r="AD347" s="326"/>
      <c r="AG347" s="326"/>
      <c r="AH347" s="326"/>
      <c r="AI347" s="326"/>
      <c r="AL347" s="326"/>
      <c r="AM347" s="326"/>
      <c r="AN347" s="326"/>
    </row>
    <row r="348" spans="1:40" x14ac:dyDescent="0.15">
      <c r="A348" s="318"/>
      <c r="B348" s="320"/>
      <c r="C348" s="320"/>
      <c r="D348" s="320"/>
      <c r="E348" s="320"/>
      <c r="F348" s="320"/>
      <c r="G348" s="320"/>
      <c r="H348" s="320"/>
      <c r="I348" s="320"/>
      <c r="J348" s="320"/>
      <c r="K348" s="320"/>
      <c r="L348" s="320"/>
      <c r="M348" s="320"/>
      <c r="N348" s="320"/>
      <c r="O348" s="321"/>
      <c r="P348" s="321"/>
      <c r="Y348" s="326"/>
      <c r="Z348" s="326"/>
      <c r="AA348" s="326"/>
      <c r="AB348" s="326"/>
      <c r="AC348" s="326"/>
      <c r="AD348" s="326"/>
      <c r="AG348" s="326"/>
      <c r="AH348" s="326"/>
      <c r="AI348" s="326"/>
      <c r="AL348" s="326"/>
      <c r="AM348" s="326"/>
      <c r="AN348" s="326"/>
    </row>
    <row r="349" spans="1:40" x14ac:dyDescent="0.15">
      <c r="A349" s="318"/>
      <c r="B349" s="320"/>
      <c r="C349" s="320"/>
      <c r="D349" s="320"/>
      <c r="E349" s="320"/>
      <c r="F349" s="320"/>
      <c r="G349" s="320"/>
      <c r="H349" s="320"/>
      <c r="I349" s="320"/>
      <c r="J349" s="320"/>
      <c r="K349" s="320"/>
      <c r="L349" s="320"/>
      <c r="M349" s="320"/>
      <c r="N349" s="320"/>
      <c r="O349" s="321"/>
      <c r="P349" s="321"/>
      <c r="Y349" s="326"/>
      <c r="Z349" s="326"/>
      <c r="AB349" s="326"/>
      <c r="AC349" s="326"/>
      <c r="AD349" s="326"/>
      <c r="AG349" s="326"/>
      <c r="AH349" s="326"/>
      <c r="AI349" s="326"/>
      <c r="AL349" s="326"/>
      <c r="AM349" s="326"/>
      <c r="AN349" s="326"/>
    </row>
    <row r="350" spans="1:40" x14ac:dyDescent="0.15">
      <c r="A350" s="318"/>
      <c r="B350" s="320"/>
      <c r="C350" s="320"/>
      <c r="D350" s="320"/>
      <c r="E350" s="320"/>
      <c r="F350" s="320"/>
      <c r="G350" s="320"/>
      <c r="H350" s="320"/>
      <c r="I350" s="320"/>
      <c r="J350" s="320"/>
      <c r="K350" s="320"/>
      <c r="L350" s="320"/>
      <c r="M350" s="320"/>
      <c r="N350" s="320"/>
      <c r="O350" s="321"/>
      <c r="P350" s="321"/>
      <c r="Y350" s="326"/>
      <c r="Z350" s="326"/>
      <c r="AA350" s="326"/>
      <c r="AB350" s="326"/>
      <c r="AC350" s="326"/>
      <c r="AD350" s="326"/>
      <c r="AG350" s="326"/>
      <c r="AH350" s="326"/>
      <c r="AI350" s="326"/>
      <c r="AL350" s="326"/>
      <c r="AM350" s="326"/>
      <c r="AN350" s="326"/>
    </row>
    <row r="351" spans="1:40" x14ac:dyDescent="0.15">
      <c r="A351" s="318"/>
      <c r="B351" s="320"/>
      <c r="C351" s="320"/>
      <c r="D351" s="320"/>
      <c r="E351" s="320"/>
      <c r="F351" s="320"/>
      <c r="G351" s="320"/>
      <c r="H351" s="320"/>
      <c r="I351" s="320"/>
      <c r="J351" s="320"/>
      <c r="K351" s="320"/>
      <c r="L351" s="320"/>
      <c r="M351" s="320"/>
      <c r="N351" s="320"/>
      <c r="O351" s="321"/>
      <c r="P351" s="321"/>
      <c r="Y351" s="326"/>
      <c r="Z351" s="326"/>
      <c r="AA351" s="326"/>
      <c r="AB351" s="326"/>
      <c r="AC351" s="326"/>
      <c r="AD351" s="326"/>
      <c r="AG351" s="326"/>
      <c r="AH351" s="326"/>
      <c r="AI351" s="326"/>
      <c r="AL351" s="326"/>
      <c r="AM351" s="326"/>
      <c r="AN351" s="326"/>
    </row>
    <row r="352" spans="1:40" x14ac:dyDescent="0.15">
      <c r="A352" s="318"/>
      <c r="B352" s="320"/>
      <c r="C352" s="320"/>
      <c r="D352" s="320"/>
      <c r="E352" s="320"/>
      <c r="F352" s="320"/>
      <c r="G352" s="320"/>
      <c r="H352" s="320"/>
      <c r="I352" s="320"/>
      <c r="J352" s="320"/>
      <c r="K352" s="320"/>
      <c r="L352" s="320"/>
      <c r="M352" s="320"/>
      <c r="N352" s="320"/>
      <c r="O352" s="321"/>
      <c r="P352" s="321"/>
      <c r="Y352" s="326"/>
      <c r="Z352" s="326"/>
      <c r="AA352" s="326"/>
      <c r="AB352" s="326"/>
      <c r="AC352" s="326"/>
      <c r="AD352" s="326"/>
      <c r="AG352" s="326"/>
      <c r="AH352" s="326"/>
      <c r="AI352" s="326"/>
      <c r="AL352" s="326"/>
      <c r="AM352" s="326"/>
      <c r="AN352" s="326"/>
    </row>
    <row r="353" spans="1:40" x14ac:dyDescent="0.15">
      <c r="A353" s="318"/>
      <c r="B353" s="320"/>
      <c r="C353" s="320"/>
      <c r="D353" s="320"/>
      <c r="E353" s="320"/>
      <c r="F353" s="320"/>
      <c r="G353" s="320"/>
      <c r="H353" s="320"/>
      <c r="I353" s="320"/>
      <c r="J353" s="320"/>
      <c r="K353" s="320"/>
      <c r="L353" s="320"/>
      <c r="M353" s="320"/>
      <c r="N353" s="320"/>
      <c r="O353" s="321"/>
      <c r="P353" s="321"/>
      <c r="Y353" s="326"/>
      <c r="Z353" s="326"/>
      <c r="AB353" s="326"/>
      <c r="AC353" s="326"/>
      <c r="AD353" s="326"/>
      <c r="AG353" s="326"/>
      <c r="AH353" s="326"/>
      <c r="AI353" s="326"/>
      <c r="AL353" s="326"/>
      <c r="AM353" s="326"/>
      <c r="AN353" s="326"/>
    </row>
    <row r="354" spans="1:40" x14ac:dyDescent="0.15">
      <c r="A354" s="318"/>
      <c r="B354" s="320"/>
      <c r="C354" s="320"/>
      <c r="D354" s="320"/>
      <c r="E354" s="320"/>
      <c r="F354" s="320"/>
      <c r="G354" s="320"/>
      <c r="H354" s="320"/>
      <c r="I354" s="320"/>
      <c r="J354" s="320"/>
      <c r="K354" s="320"/>
      <c r="L354" s="320"/>
      <c r="M354" s="320"/>
      <c r="N354" s="320"/>
      <c r="O354" s="321"/>
      <c r="P354" s="321"/>
      <c r="Y354" s="326"/>
      <c r="Z354" s="326"/>
      <c r="AA354" s="326"/>
      <c r="AB354" s="326"/>
      <c r="AC354" s="326"/>
      <c r="AD354" s="326"/>
      <c r="AG354" s="326"/>
      <c r="AH354" s="326"/>
      <c r="AI354" s="326"/>
      <c r="AL354" s="326"/>
      <c r="AM354" s="326"/>
      <c r="AN354" s="326"/>
    </row>
    <row r="355" spans="1:40" x14ac:dyDescent="0.15">
      <c r="A355" s="318"/>
      <c r="B355" s="320"/>
      <c r="C355" s="320"/>
      <c r="D355" s="320"/>
      <c r="E355" s="320"/>
      <c r="F355" s="320"/>
      <c r="G355" s="320"/>
      <c r="H355" s="320"/>
      <c r="I355" s="320"/>
      <c r="J355" s="320"/>
      <c r="K355" s="320"/>
      <c r="L355" s="320"/>
      <c r="M355" s="320"/>
      <c r="N355" s="320"/>
      <c r="O355" s="321"/>
      <c r="P355" s="321"/>
      <c r="Y355" s="326"/>
      <c r="Z355" s="326"/>
      <c r="AB355" s="326"/>
      <c r="AC355" s="326"/>
      <c r="AD355" s="326"/>
      <c r="AG355" s="326"/>
      <c r="AH355" s="326"/>
      <c r="AI355" s="326"/>
      <c r="AL355" s="326"/>
      <c r="AM355" s="326"/>
      <c r="AN355" s="326"/>
    </row>
    <row r="356" spans="1:40" x14ac:dyDescent="0.15">
      <c r="A356" s="318"/>
      <c r="B356" s="320"/>
      <c r="C356" s="320"/>
      <c r="D356" s="320"/>
      <c r="E356" s="320"/>
      <c r="F356" s="320"/>
      <c r="G356" s="320"/>
      <c r="H356" s="320"/>
      <c r="I356" s="320"/>
      <c r="J356" s="320"/>
      <c r="K356" s="320"/>
      <c r="L356" s="320"/>
      <c r="M356" s="320"/>
      <c r="N356" s="320"/>
      <c r="O356" s="321"/>
      <c r="P356" s="321"/>
      <c r="Y356" s="326"/>
      <c r="Z356" s="326"/>
      <c r="AA356" s="326"/>
      <c r="AB356" s="326"/>
      <c r="AC356" s="326"/>
      <c r="AD356" s="326"/>
      <c r="AG356" s="326"/>
      <c r="AH356" s="326"/>
      <c r="AI356" s="326"/>
      <c r="AL356" s="326"/>
      <c r="AM356" s="326"/>
      <c r="AN356" s="326"/>
    </row>
    <row r="357" spans="1:40" x14ac:dyDescent="0.15">
      <c r="A357" s="318"/>
      <c r="B357" s="320"/>
      <c r="C357" s="320"/>
      <c r="D357" s="320"/>
      <c r="E357" s="320"/>
      <c r="F357" s="320"/>
      <c r="G357" s="320"/>
      <c r="H357" s="320"/>
      <c r="I357" s="320"/>
      <c r="J357" s="320"/>
      <c r="K357" s="320"/>
      <c r="L357" s="320"/>
      <c r="M357" s="320"/>
      <c r="N357" s="320"/>
      <c r="O357" s="321"/>
      <c r="P357" s="321"/>
      <c r="Y357" s="326"/>
      <c r="Z357" s="326"/>
      <c r="AA357" s="326"/>
      <c r="AB357" s="326"/>
      <c r="AC357" s="326"/>
      <c r="AD357" s="326"/>
      <c r="AG357" s="326"/>
      <c r="AH357" s="326"/>
      <c r="AI357" s="326"/>
      <c r="AL357" s="326"/>
      <c r="AM357" s="326"/>
      <c r="AN357" s="326"/>
    </row>
    <row r="358" spans="1:40" x14ac:dyDescent="0.15">
      <c r="A358" s="318"/>
      <c r="B358" s="320"/>
      <c r="C358" s="320"/>
      <c r="D358" s="320"/>
      <c r="E358" s="320"/>
      <c r="F358" s="320"/>
      <c r="G358" s="320"/>
      <c r="H358" s="320"/>
      <c r="I358" s="320"/>
      <c r="J358" s="320"/>
      <c r="K358" s="320"/>
      <c r="L358" s="320"/>
      <c r="M358" s="320"/>
      <c r="N358" s="320"/>
      <c r="O358" s="321"/>
      <c r="P358" s="321"/>
      <c r="Y358" s="326"/>
      <c r="Z358" s="326"/>
      <c r="AA358" s="326"/>
      <c r="AB358" s="326"/>
      <c r="AC358" s="326"/>
      <c r="AD358" s="326"/>
      <c r="AG358" s="326"/>
      <c r="AH358" s="326"/>
      <c r="AI358" s="326"/>
      <c r="AL358" s="326"/>
      <c r="AM358" s="326"/>
      <c r="AN358" s="326"/>
    </row>
    <row r="359" spans="1:40" x14ac:dyDescent="0.15">
      <c r="A359" s="318"/>
      <c r="B359" s="320"/>
      <c r="C359" s="320"/>
      <c r="D359" s="320"/>
      <c r="E359" s="320"/>
      <c r="F359" s="320"/>
      <c r="G359" s="320"/>
      <c r="H359" s="320"/>
      <c r="I359" s="320"/>
      <c r="J359" s="320"/>
      <c r="K359" s="320"/>
      <c r="L359" s="320"/>
      <c r="M359" s="320"/>
      <c r="N359" s="320"/>
      <c r="O359" s="321"/>
      <c r="P359" s="321"/>
      <c r="Y359" s="326"/>
      <c r="Z359" s="326"/>
      <c r="AA359" s="326"/>
      <c r="AB359" s="326"/>
      <c r="AC359" s="326"/>
      <c r="AD359" s="326"/>
      <c r="AG359" s="326"/>
      <c r="AH359" s="326"/>
      <c r="AI359" s="326"/>
      <c r="AL359" s="326"/>
      <c r="AM359" s="326"/>
      <c r="AN359" s="326"/>
    </row>
    <row r="360" spans="1:40" x14ac:dyDescent="0.15">
      <c r="A360" s="318"/>
      <c r="B360" s="320"/>
      <c r="C360" s="320"/>
      <c r="D360" s="320"/>
      <c r="E360" s="320"/>
      <c r="F360" s="320"/>
      <c r="G360" s="320"/>
      <c r="H360" s="320"/>
      <c r="I360" s="320"/>
      <c r="J360" s="320"/>
      <c r="K360" s="320"/>
      <c r="L360" s="320"/>
      <c r="M360" s="320"/>
      <c r="N360" s="320"/>
      <c r="O360" s="321"/>
      <c r="P360" s="321"/>
      <c r="Y360" s="326"/>
      <c r="Z360" s="326"/>
      <c r="AA360" s="326"/>
      <c r="AB360" s="326"/>
      <c r="AC360" s="326"/>
      <c r="AD360" s="326"/>
      <c r="AG360" s="326"/>
      <c r="AH360" s="326"/>
      <c r="AI360" s="326"/>
      <c r="AL360" s="326"/>
      <c r="AM360" s="326"/>
      <c r="AN360" s="326"/>
    </row>
    <row r="361" spans="1:40" x14ac:dyDescent="0.15">
      <c r="A361" s="318"/>
      <c r="B361" s="320"/>
      <c r="C361" s="320"/>
      <c r="D361" s="320"/>
      <c r="E361" s="320"/>
      <c r="F361" s="320"/>
      <c r="G361" s="320"/>
      <c r="H361" s="320"/>
      <c r="I361" s="320"/>
      <c r="J361" s="320"/>
      <c r="K361" s="320"/>
      <c r="L361" s="320"/>
      <c r="M361" s="320"/>
      <c r="N361" s="320"/>
      <c r="O361" s="321"/>
      <c r="P361" s="321"/>
      <c r="Y361" s="326"/>
      <c r="Z361" s="326"/>
      <c r="AA361" s="326"/>
      <c r="AB361" s="326"/>
      <c r="AC361" s="326"/>
      <c r="AD361" s="326"/>
      <c r="AG361" s="326"/>
      <c r="AH361" s="326"/>
      <c r="AI361" s="326"/>
      <c r="AL361" s="326"/>
      <c r="AM361" s="326"/>
      <c r="AN361" s="326"/>
    </row>
    <row r="362" spans="1:40" x14ac:dyDescent="0.15">
      <c r="A362" s="318"/>
      <c r="B362" s="320"/>
      <c r="C362" s="320"/>
      <c r="D362" s="320"/>
      <c r="E362" s="320"/>
      <c r="F362" s="320"/>
      <c r="G362" s="320"/>
      <c r="H362" s="320"/>
      <c r="I362" s="320"/>
      <c r="J362" s="320"/>
      <c r="K362" s="320"/>
      <c r="L362" s="320"/>
      <c r="M362" s="320"/>
      <c r="N362" s="320"/>
      <c r="O362" s="321"/>
      <c r="P362" s="321"/>
      <c r="Y362" s="326"/>
      <c r="Z362" s="326"/>
      <c r="AA362" s="326"/>
      <c r="AB362" s="326"/>
      <c r="AC362" s="326"/>
      <c r="AD362" s="326"/>
      <c r="AG362" s="326"/>
      <c r="AH362" s="326"/>
      <c r="AI362" s="326"/>
      <c r="AL362" s="326"/>
      <c r="AM362" s="326"/>
      <c r="AN362" s="326"/>
    </row>
    <row r="363" spans="1:40" x14ac:dyDescent="0.15">
      <c r="A363" s="318"/>
      <c r="B363" s="320"/>
      <c r="C363" s="320"/>
      <c r="D363" s="320"/>
      <c r="E363" s="320"/>
      <c r="F363" s="320"/>
      <c r="G363" s="320"/>
      <c r="H363" s="320"/>
      <c r="I363" s="320"/>
      <c r="J363" s="320"/>
      <c r="K363" s="320"/>
      <c r="L363" s="320"/>
      <c r="M363" s="320"/>
      <c r="N363" s="320"/>
      <c r="O363" s="321"/>
      <c r="P363" s="321"/>
      <c r="Y363" s="326"/>
      <c r="Z363" s="326"/>
      <c r="AA363" s="326"/>
      <c r="AB363" s="326"/>
      <c r="AC363" s="326"/>
      <c r="AD363" s="326"/>
      <c r="AG363" s="326"/>
      <c r="AH363" s="326"/>
      <c r="AI363" s="326"/>
      <c r="AL363" s="326"/>
      <c r="AM363" s="326"/>
      <c r="AN363" s="326"/>
    </row>
    <row r="364" spans="1:40" x14ac:dyDescent="0.15">
      <c r="A364" s="318"/>
      <c r="B364" s="320"/>
      <c r="C364" s="320"/>
      <c r="D364" s="320"/>
      <c r="E364" s="320"/>
      <c r="F364" s="320"/>
      <c r="G364" s="320"/>
      <c r="H364" s="320"/>
      <c r="I364" s="320"/>
      <c r="J364" s="320"/>
      <c r="K364" s="320"/>
      <c r="L364" s="320"/>
      <c r="M364" s="320"/>
      <c r="N364" s="320"/>
      <c r="O364" s="321"/>
      <c r="P364" s="321"/>
      <c r="Y364" s="326"/>
      <c r="Z364" s="326"/>
      <c r="AA364" s="326"/>
      <c r="AB364" s="326"/>
      <c r="AC364" s="326"/>
      <c r="AD364" s="326"/>
      <c r="AG364" s="326"/>
      <c r="AH364" s="326"/>
      <c r="AI364" s="326"/>
      <c r="AL364" s="326"/>
      <c r="AM364" s="326"/>
      <c r="AN364" s="326"/>
    </row>
    <row r="365" spans="1:40" x14ac:dyDescent="0.15">
      <c r="A365" s="318"/>
      <c r="B365" s="320"/>
      <c r="C365" s="320"/>
      <c r="D365" s="320"/>
      <c r="E365" s="320"/>
      <c r="F365" s="320"/>
      <c r="G365" s="320"/>
      <c r="H365" s="320"/>
      <c r="I365" s="320"/>
      <c r="J365" s="320"/>
      <c r="K365" s="320"/>
      <c r="L365" s="320"/>
      <c r="M365" s="320"/>
      <c r="N365" s="320"/>
      <c r="O365" s="321"/>
      <c r="P365" s="321"/>
      <c r="Y365" s="326"/>
      <c r="Z365" s="326"/>
      <c r="AA365" s="326"/>
      <c r="AB365" s="326"/>
      <c r="AC365" s="326"/>
      <c r="AD365" s="326"/>
      <c r="AG365" s="326"/>
      <c r="AH365" s="326"/>
      <c r="AI365" s="326"/>
      <c r="AL365" s="326"/>
      <c r="AM365" s="326"/>
      <c r="AN365" s="326"/>
    </row>
    <row r="366" spans="1:40" x14ac:dyDescent="0.15">
      <c r="A366" s="318"/>
      <c r="B366" s="320"/>
      <c r="C366" s="320"/>
      <c r="D366" s="320"/>
      <c r="E366" s="320"/>
      <c r="F366" s="320"/>
      <c r="G366" s="320"/>
      <c r="H366" s="320"/>
      <c r="I366" s="320"/>
      <c r="J366" s="320"/>
      <c r="K366" s="320"/>
      <c r="L366" s="320"/>
      <c r="M366" s="320"/>
      <c r="N366" s="320"/>
      <c r="O366" s="321"/>
      <c r="P366" s="321"/>
      <c r="Y366" s="326"/>
      <c r="Z366" s="326"/>
      <c r="AA366" s="326"/>
      <c r="AB366" s="326"/>
      <c r="AC366" s="326"/>
      <c r="AD366" s="326"/>
      <c r="AG366" s="326"/>
      <c r="AH366" s="326"/>
      <c r="AI366" s="326"/>
      <c r="AL366" s="326"/>
      <c r="AM366" s="326"/>
      <c r="AN366" s="326"/>
    </row>
    <row r="367" spans="1:40" x14ac:dyDescent="0.15">
      <c r="A367" s="318"/>
      <c r="B367" s="320"/>
      <c r="C367" s="320"/>
      <c r="D367" s="320"/>
      <c r="E367" s="320"/>
      <c r="F367" s="320"/>
      <c r="G367" s="320"/>
      <c r="H367" s="320"/>
      <c r="I367" s="320"/>
      <c r="J367" s="320"/>
      <c r="K367" s="320"/>
      <c r="L367" s="320"/>
      <c r="M367" s="320"/>
      <c r="N367" s="320"/>
      <c r="O367" s="321"/>
      <c r="P367" s="321"/>
      <c r="Y367" s="326"/>
      <c r="Z367" s="326"/>
      <c r="AA367" s="326"/>
      <c r="AB367" s="326"/>
      <c r="AC367" s="326"/>
      <c r="AD367" s="326"/>
      <c r="AG367" s="326"/>
      <c r="AH367" s="326"/>
      <c r="AI367" s="326"/>
      <c r="AL367" s="326"/>
      <c r="AM367" s="326"/>
      <c r="AN367" s="326"/>
    </row>
    <row r="368" spans="1:40" x14ac:dyDescent="0.15">
      <c r="A368" s="318"/>
      <c r="B368" s="320"/>
      <c r="C368" s="320"/>
      <c r="D368" s="320"/>
      <c r="E368" s="320"/>
      <c r="F368" s="320"/>
      <c r="G368" s="320"/>
      <c r="H368" s="320"/>
      <c r="I368" s="320"/>
      <c r="J368" s="320"/>
      <c r="K368" s="320"/>
      <c r="L368" s="320"/>
      <c r="M368" s="320"/>
      <c r="N368" s="320"/>
      <c r="O368" s="321"/>
      <c r="P368" s="321"/>
      <c r="Y368" s="326"/>
      <c r="Z368" s="326"/>
      <c r="AA368" s="326"/>
      <c r="AB368" s="326"/>
      <c r="AC368" s="326"/>
      <c r="AD368" s="326"/>
      <c r="AG368" s="326"/>
      <c r="AH368" s="326"/>
      <c r="AI368" s="326"/>
      <c r="AL368" s="326"/>
      <c r="AM368" s="326"/>
      <c r="AN368" s="326"/>
    </row>
    <row r="369" spans="1:40" x14ac:dyDescent="0.15">
      <c r="A369" s="318"/>
      <c r="B369" s="320"/>
      <c r="C369" s="320"/>
      <c r="D369" s="320"/>
      <c r="E369" s="320"/>
      <c r="F369" s="320"/>
      <c r="G369" s="320"/>
      <c r="H369" s="320"/>
      <c r="I369" s="320"/>
      <c r="J369" s="320"/>
      <c r="K369" s="320"/>
      <c r="L369" s="320"/>
      <c r="M369" s="320"/>
      <c r="N369" s="320"/>
      <c r="O369" s="321"/>
      <c r="P369" s="321"/>
      <c r="Y369" s="326"/>
      <c r="Z369" s="326"/>
      <c r="AA369" s="326"/>
      <c r="AB369" s="326"/>
      <c r="AC369" s="326"/>
      <c r="AD369" s="326"/>
      <c r="AG369" s="326"/>
      <c r="AH369" s="326"/>
      <c r="AI369" s="326"/>
      <c r="AL369" s="326"/>
      <c r="AM369" s="326"/>
      <c r="AN369" s="326"/>
    </row>
    <row r="370" spans="1:40" x14ac:dyDescent="0.15">
      <c r="A370" s="318"/>
      <c r="B370" s="320"/>
      <c r="C370" s="320"/>
      <c r="D370" s="320"/>
      <c r="E370" s="320"/>
      <c r="F370" s="320"/>
      <c r="G370" s="320"/>
      <c r="H370" s="320"/>
      <c r="I370" s="320"/>
      <c r="J370" s="320"/>
      <c r="K370" s="320"/>
      <c r="L370" s="320"/>
      <c r="M370" s="320"/>
      <c r="N370" s="320"/>
      <c r="O370" s="321"/>
      <c r="P370" s="321"/>
      <c r="Y370" s="326"/>
      <c r="Z370" s="326"/>
      <c r="AA370" s="326"/>
      <c r="AB370" s="326"/>
      <c r="AC370" s="326"/>
      <c r="AD370" s="326"/>
      <c r="AG370" s="326"/>
      <c r="AH370" s="326"/>
      <c r="AI370" s="326"/>
      <c r="AL370" s="326"/>
      <c r="AM370" s="326"/>
      <c r="AN370" s="326"/>
    </row>
    <row r="371" spans="1:40" x14ac:dyDescent="0.15">
      <c r="A371" s="318"/>
      <c r="B371" s="320"/>
      <c r="C371" s="320"/>
      <c r="D371" s="320"/>
      <c r="E371" s="320"/>
      <c r="F371" s="320"/>
      <c r="G371" s="320"/>
      <c r="H371" s="320"/>
      <c r="I371" s="320"/>
      <c r="J371" s="320"/>
      <c r="K371" s="320"/>
      <c r="L371" s="320"/>
      <c r="M371" s="320"/>
      <c r="N371" s="320"/>
      <c r="O371" s="321"/>
      <c r="P371" s="321"/>
      <c r="Y371" s="326"/>
      <c r="Z371" s="326"/>
      <c r="AA371" s="326"/>
      <c r="AB371" s="326"/>
      <c r="AC371" s="326"/>
      <c r="AD371" s="326"/>
      <c r="AG371" s="326"/>
      <c r="AH371" s="326"/>
      <c r="AI371" s="326"/>
      <c r="AL371" s="326"/>
      <c r="AM371" s="326"/>
      <c r="AN371" s="326"/>
    </row>
    <row r="372" spans="1:40" x14ac:dyDescent="0.15">
      <c r="A372" s="318"/>
      <c r="B372" s="320"/>
      <c r="C372" s="320"/>
      <c r="D372" s="320"/>
      <c r="E372" s="320"/>
      <c r="F372" s="320"/>
      <c r="G372" s="320"/>
      <c r="H372" s="320"/>
      <c r="I372" s="320"/>
      <c r="J372" s="320"/>
      <c r="K372" s="320"/>
      <c r="L372" s="320"/>
      <c r="M372" s="320"/>
      <c r="N372" s="320"/>
      <c r="O372" s="321"/>
      <c r="P372" s="321"/>
      <c r="Y372" s="326"/>
      <c r="Z372" s="326"/>
      <c r="AA372" s="326"/>
      <c r="AB372" s="326"/>
      <c r="AC372" s="326"/>
      <c r="AD372" s="326"/>
      <c r="AG372" s="326"/>
      <c r="AH372" s="326"/>
      <c r="AI372" s="326"/>
      <c r="AL372" s="326"/>
      <c r="AM372" s="326"/>
      <c r="AN372" s="326"/>
    </row>
    <row r="373" spans="1:40" x14ac:dyDescent="0.15">
      <c r="A373" s="318"/>
      <c r="B373" s="320"/>
      <c r="C373" s="320"/>
      <c r="D373" s="320"/>
      <c r="E373" s="320"/>
      <c r="F373" s="320"/>
      <c r="G373" s="320"/>
      <c r="H373" s="320"/>
      <c r="I373" s="320"/>
      <c r="J373" s="320"/>
      <c r="K373" s="320"/>
      <c r="L373" s="320"/>
      <c r="M373" s="320"/>
      <c r="N373" s="320"/>
      <c r="O373" s="321"/>
      <c r="P373" s="321"/>
      <c r="Y373" s="326"/>
      <c r="Z373" s="326"/>
      <c r="AA373" s="326"/>
      <c r="AB373" s="326"/>
      <c r="AC373" s="326"/>
      <c r="AD373" s="326"/>
      <c r="AG373" s="326"/>
      <c r="AH373" s="326"/>
      <c r="AI373" s="326"/>
      <c r="AL373" s="326"/>
      <c r="AM373" s="326"/>
      <c r="AN373" s="326"/>
    </row>
    <row r="374" spans="1:40" x14ac:dyDescent="0.15">
      <c r="A374" s="318"/>
      <c r="B374" s="320"/>
      <c r="C374" s="320"/>
      <c r="D374" s="320"/>
      <c r="E374" s="320"/>
      <c r="F374" s="320"/>
      <c r="G374" s="320"/>
      <c r="H374" s="320"/>
      <c r="I374" s="320"/>
      <c r="J374" s="320"/>
      <c r="K374" s="320"/>
      <c r="L374" s="320"/>
      <c r="M374" s="320"/>
      <c r="N374" s="320"/>
      <c r="O374" s="321"/>
      <c r="P374" s="321"/>
      <c r="Y374" s="326"/>
      <c r="Z374" s="326"/>
      <c r="AA374" s="326"/>
      <c r="AB374" s="326"/>
      <c r="AC374" s="326"/>
      <c r="AD374" s="326"/>
      <c r="AG374" s="326"/>
      <c r="AH374" s="326"/>
      <c r="AI374" s="326"/>
      <c r="AL374" s="326"/>
      <c r="AM374" s="326"/>
      <c r="AN374" s="326"/>
    </row>
    <row r="375" spans="1:40" x14ac:dyDescent="0.15">
      <c r="A375" s="318"/>
      <c r="B375" s="320"/>
      <c r="C375" s="320"/>
      <c r="D375" s="320"/>
      <c r="E375" s="320"/>
      <c r="F375" s="320"/>
      <c r="G375" s="320"/>
      <c r="H375" s="320"/>
      <c r="I375" s="320"/>
      <c r="J375" s="320"/>
      <c r="K375" s="320"/>
      <c r="L375" s="320"/>
      <c r="M375" s="320"/>
      <c r="N375" s="320"/>
      <c r="O375" s="321"/>
      <c r="P375" s="321"/>
      <c r="Y375" s="326"/>
      <c r="Z375" s="326"/>
      <c r="AA375" s="326"/>
      <c r="AB375" s="326"/>
      <c r="AC375" s="326"/>
      <c r="AD375" s="326"/>
      <c r="AG375" s="326"/>
      <c r="AH375" s="326"/>
      <c r="AI375" s="326"/>
      <c r="AL375" s="326"/>
      <c r="AM375" s="326"/>
      <c r="AN375" s="326"/>
    </row>
    <row r="376" spans="1:40" x14ac:dyDescent="0.15">
      <c r="A376" s="318"/>
      <c r="B376" s="320"/>
      <c r="C376" s="320"/>
      <c r="D376" s="320"/>
      <c r="E376" s="320"/>
      <c r="F376" s="320"/>
      <c r="G376" s="320"/>
      <c r="H376" s="320"/>
      <c r="I376" s="320"/>
      <c r="J376" s="320"/>
      <c r="K376" s="320"/>
      <c r="L376" s="320"/>
      <c r="M376" s="320"/>
      <c r="N376" s="320"/>
      <c r="O376" s="321"/>
      <c r="P376" s="321"/>
      <c r="Y376" s="326"/>
      <c r="Z376" s="326"/>
      <c r="AA376" s="326"/>
      <c r="AB376" s="326"/>
      <c r="AC376" s="326"/>
      <c r="AD376" s="326"/>
      <c r="AG376" s="326"/>
      <c r="AH376" s="326"/>
      <c r="AI376" s="326"/>
      <c r="AL376" s="326"/>
      <c r="AM376" s="326"/>
      <c r="AN376" s="326"/>
    </row>
    <row r="377" spans="1:40" x14ac:dyDescent="0.15">
      <c r="A377" s="318"/>
      <c r="B377" s="320"/>
      <c r="C377" s="320"/>
      <c r="D377" s="320"/>
      <c r="E377" s="320"/>
      <c r="F377" s="320"/>
      <c r="G377" s="320"/>
      <c r="H377" s="320"/>
      <c r="I377" s="320"/>
      <c r="J377" s="320"/>
      <c r="K377" s="320"/>
      <c r="L377" s="320"/>
      <c r="M377" s="320"/>
      <c r="N377" s="320"/>
      <c r="O377" s="321"/>
      <c r="P377" s="321"/>
      <c r="Y377" s="326"/>
      <c r="Z377" s="326"/>
      <c r="AA377" s="326"/>
      <c r="AB377" s="326"/>
      <c r="AC377" s="326"/>
      <c r="AD377" s="326"/>
      <c r="AG377" s="326"/>
      <c r="AH377" s="326"/>
      <c r="AI377" s="326"/>
      <c r="AL377" s="326"/>
      <c r="AM377" s="326"/>
      <c r="AN377" s="326"/>
    </row>
    <row r="378" spans="1:40" x14ac:dyDescent="0.15">
      <c r="A378" s="318"/>
      <c r="B378" s="320"/>
      <c r="C378" s="320"/>
      <c r="D378" s="320"/>
      <c r="E378" s="320"/>
      <c r="F378" s="320"/>
      <c r="G378" s="320"/>
      <c r="H378" s="320"/>
      <c r="I378" s="320"/>
      <c r="J378" s="320"/>
      <c r="K378" s="320"/>
      <c r="L378" s="320"/>
      <c r="M378" s="320"/>
      <c r="N378" s="320"/>
      <c r="O378" s="321"/>
      <c r="P378" s="321"/>
      <c r="Y378" s="326"/>
      <c r="Z378" s="326"/>
      <c r="AB378" s="326"/>
      <c r="AC378" s="326"/>
      <c r="AD378" s="326"/>
      <c r="AG378" s="326"/>
      <c r="AH378" s="326"/>
      <c r="AI378" s="326"/>
      <c r="AL378" s="326"/>
      <c r="AM378" s="326"/>
      <c r="AN378" s="326"/>
    </row>
    <row r="379" spans="1:40" x14ac:dyDescent="0.15">
      <c r="A379" s="318"/>
      <c r="B379" s="320"/>
      <c r="C379" s="320"/>
      <c r="D379" s="320"/>
      <c r="E379" s="320"/>
      <c r="F379" s="320"/>
      <c r="G379" s="320"/>
      <c r="H379" s="320"/>
      <c r="I379" s="320"/>
      <c r="J379" s="320"/>
      <c r="K379" s="320"/>
      <c r="L379" s="320"/>
      <c r="M379" s="320"/>
      <c r="N379" s="320"/>
      <c r="O379" s="321"/>
      <c r="P379" s="321"/>
      <c r="Y379" s="326"/>
      <c r="Z379" s="326"/>
      <c r="AA379" s="326"/>
      <c r="AB379" s="326"/>
      <c r="AC379" s="326"/>
      <c r="AD379" s="326"/>
      <c r="AG379" s="326"/>
      <c r="AH379" s="326"/>
      <c r="AI379" s="326"/>
      <c r="AL379" s="326"/>
      <c r="AM379" s="326"/>
      <c r="AN379" s="326"/>
    </row>
    <row r="380" spans="1:40" x14ac:dyDescent="0.15">
      <c r="A380" s="318"/>
      <c r="B380" s="320"/>
      <c r="C380" s="320"/>
      <c r="D380" s="320"/>
      <c r="E380" s="320"/>
      <c r="F380" s="320"/>
      <c r="G380" s="320"/>
      <c r="H380" s="320"/>
      <c r="I380" s="320"/>
      <c r="J380" s="320"/>
      <c r="K380" s="320"/>
      <c r="L380" s="320"/>
      <c r="M380" s="320"/>
      <c r="N380" s="320"/>
      <c r="O380" s="321"/>
      <c r="P380" s="321"/>
      <c r="Y380" s="326"/>
      <c r="Z380" s="326"/>
      <c r="AA380" s="326"/>
      <c r="AB380" s="326"/>
      <c r="AC380" s="326"/>
      <c r="AD380" s="326"/>
      <c r="AG380" s="326"/>
      <c r="AH380" s="326"/>
      <c r="AI380" s="326"/>
      <c r="AL380" s="326"/>
      <c r="AM380" s="326"/>
      <c r="AN380" s="326"/>
    </row>
    <row r="381" spans="1:40" x14ac:dyDescent="0.15">
      <c r="A381" s="318"/>
      <c r="B381" s="320"/>
      <c r="C381" s="320"/>
      <c r="D381" s="320"/>
      <c r="E381" s="320"/>
      <c r="F381" s="320"/>
      <c r="G381" s="320"/>
      <c r="H381" s="320"/>
      <c r="I381" s="320"/>
      <c r="J381" s="320"/>
      <c r="K381" s="320"/>
      <c r="L381" s="320"/>
      <c r="M381" s="320"/>
      <c r="N381" s="320"/>
      <c r="O381" s="321"/>
      <c r="P381" s="321"/>
      <c r="Y381" s="326"/>
      <c r="Z381" s="326"/>
      <c r="AA381" s="326"/>
      <c r="AB381" s="326"/>
      <c r="AC381" s="326"/>
      <c r="AD381" s="326"/>
      <c r="AG381" s="326"/>
      <c r="AH381" s="326"/>
      <c r="AI381" s="326"/>
      <c r="AL381" s="326"/>
      <c r="AM381" s="326"/>
      <c r="AN381" s="326"/>
    </row>
    <row r="382" spans="1:40" x14ac:dyDescent="0.15">
      <c r="A382" s="318"/>
      <c r="B382" s="320"/>
      <c r="C382" s="320"/>
      <c r="D382" s="320"/>
      <c r="E382" s="320"/>
      <c r="F382" s="320"/>
      <c r="G382" s="320"/>
      <c r="H382" s="320"/>
      <c r="I382" s="320"/>
      <c r="J382" s="320"/>
      <c r="K382" s="320"/>
      <c r="L382" s="320"/>
      <c r="M382" s="320"/>
      <c r="N382" s="320"/>
      <c r="O382" s="321"/>
      <c r="P382" s="321"/>
      <c r="Y382" s="326"/>
      <c r="Z382" s="326"/>
      <c r="AB382" s="326"/>
      <c r="AC382" s="326"/>
      <c r="AD382" s="326"/>
      <c r="AG382" s="326"/>
      <c r="AH382" s="326"/>
      <c r="AI382" s="326"/>
      <c r="AL382" s="326"/>
      <c r="AM382" s="326"/>
      <c r="AN382" s="326"/>
    </row>
    <row r="383" spans="1:40" x14ac:dyDescent="0.15">
      <c r="A383" s="318"/>
      <c r="B383" s="320"/>
      <c r="C383" s="320"/>
      <c r="D383" s="320"/>
      <c r="E383" s="320"/>
      <c r="F383" s="320"/>
      <c r="G383" s="320"/>
      <c r="H383" s="320"/>
      <c r="I383" s="320"/>
      <c r="J383" s="320"/>
      <c r="K383" s="320"/>
      <c r="L383" s="320"/>
      <c r="M383" s="320"/>
      <c r="N383" s="320"/>
      <c r="O383" s="321"/>
      <c r="P383" s="321"/>
      <c r="Y383" s="326"/>
      <c r="Z383" s="326"/>
      <c r="AA383" s="326"/>
      <c r="AB383" s="326"/>
      <c r="AC383" s="326"/>
      <c r="AD383" s="326"/>
      <c r="AG383" s="326"/>
      <c r="AH383" s="326"/>
      <c r="AI383" s="326"/>
      <c r="AL383" s="326"/>
      <c r="AM383" s="326"/>
      <c r="AN383" s="326"/>
    </row>
    <row r="384" spans="1:40" x14ac:dyDescent="0.15">
      <c r="A384" s="318"/>
      <c r="B384" s="320"/>
      <c r="C384" s="320"/>
      <c r="D384" s="320"/>
      <c r="E384" s="320"/>
      <c r="F384" s="320"/>
      <c r="G384" s="320"/>
      <c r="H384" s="320"/>
      <c r="I384" s="320"/>
      <c r="J384" s="320"/>
      <c r="K384" s="320"/>
      <c r="L384" s="320"/>
      <c r="M384" s="320"/>
      <c r="N384" s="320"/>
      <c r="O384" s="321"/>
      <c r="P384" s="321"/>
      <c r="Y384" s="326"/>
      <c r="Z384" s="326"/>
      <c r="AA384" s="326"/>
      <c r="AB384" s="326"/>
      <c r="AC384" s="326"/>
      <c r="AD384" s="326"/>
      <c r="AG384" s="326"/>
      <c r="AH384" s="326"/>
      <c r="AI384" s="326"/>
      <c r="AL384" s="326"/>
      <c r="AM384" s="326"/>
      <c r="AN384" s="326"/>
    </row>
    <row r="385" spans="1:40" x14ac:dyDescent="0.15">
      <c r="A385" s="318"/>
      <c r="B385" s="320"/>
      <c r="C385" s="320"/>
      <c r="D385" s="320"/>
      <c r="E385" s="320"/>
      <c r="F385" s="320"/>
      <c r="G385" s="320"/>
      <c r="H385" s="320"/>
      <c r="I385" s="320"/>
      <c r="J385" s="320"/>
      <c r="K385" s="320"/>
      <c r="L385" s="320"/>
      <c r="M385" s="320"/>
      <c r="N385" s="320"/>
      <c r="O385" s="321"/>
      <c r="P385" s="321"/>
      <c r="Y385" s="326"/>
      <c r="Z385" s="326"/>
      <c r="AA385" s="326"/>
      <c r="AB385" s="326"/>
      <c r="AC385" s="326"/>
      <c r="AD385" s="326"/>
      <c r="AG385" s="326"/>
      <c r="AH385" s="326"/>
      <c r="AI385" s="326"/>
      <c r="AL385" s="326"/>
      <c r="AM385" s="326"/>
      <c r="AN385" s="326"/>
    </row>
    <row r="386" spans="1:40" x14ac:dyDescent="0.15">
      <c r="A386" s="318"/>
      <c r="B386" s="320"/>
      <c r="C386" s="320"/>
      <c r="D386" s="320"/>
      <c r="E386" s="320"/>
      <c r="F386" s="320"/>
      <c r="G386" s="320"/>
      <c r="H386" s="320"/>
      <c r="I386" s="320"/>
      <c r="J386" s="320"/>
      <c r="K386" s="320"/>
      <c r="L386" s="320"/>
      <c r="M386" s="320"/>
      <c r="N386" s="320"/>
      <c r="O386" s="321"/>
      <c r="P386" s="321"/>
      <c r="Y386" s="326"/>
      <c r="Z386" s="326"/>
      <c r="AA386" s="326"/>
      <c r="AB386" s="326"/>
      <c r="AC386" s="326"/>
      <c r="AD386" s="326"/>
      <c r="AG386" s="326"/>
      <c r="AH386" s="326"/>
      <c r="AI386" s="326"/>
      <c r="AL386" s="326"/>
      <c r="AM386" s="326"/>
      <c r="AN386" s="326"/>
    </row>
    <row r="387" spans="1:40" x14ac:dyDescent="0.15">
      <c r="A387" s="318"/>
      <c r="B387" s="320"/>
      <c r="C387" s="320"/>
      <c r="D387" s="320"/>
      <c r="E387" s="320"/>
      <c r="F387" s="320"/>
      <c r="G387" s="320"/>
      <c r="H387" s="320"/>
      <c r="I387" s="320"/>
      <c r="J387" s="320"/>
      <c r="K387" s="320"/>
      <c r="L387" s="320"/>
      <c r="M387" s="320"/>
      <c r="N387" s="320"/>
      <c r="O387" s="321"/>
      <c r="P387" s="321"/>
      <c r="Y387" s="326"/>
      <c r="Z387" s="326"/>
      <c r="AB387" s="326"/>
      <c r="AC387" s="326"/>
      <c r="AD387" s="326"/>
      <c r="AG387" s="326"/>
      <c r="AH387" s="326"/>
      <c r="AI387" s="326"/>
      <c r="AL387" s="326"/>
      <c r="AM387" s="326"/>
      <c r="AN387" s="326"/>
    </row>
    <row r="388" spans="1:40" x14ac:dyDescent="0.15">
      <c r="A388" s="318"/>
      <c r="B388" s="320"/>
      <c r="C388" s="320"/>
      <c r="D388" s="320"/>
      <c r="E388" s="320"/>
      <c r="F388" s="320"/>
      <c r="G388" s="320"/>
      <c r="H388" s="320"/>
      <c r="I388" s="320"/>
      <c r="J388" s="320"/>
      <c r="K388" s="320"/>
      <c r="L388" s="320"/>
      <c r="M388" s="320"/>
      <c r="N388" s="320"/>
      <c r="O388" s="321"/>
      <c r="P388" s="321"/>
      <c r="Y388" s="326"/>
      <c r="Z388" s="326"/>
      <c r="AA388" s="326"/>
      <c r="AB388" s="326"/>
      <c r="AC388" s="326"/>
      <c r="AD388" s="326"/>
      <c r="AG388" s="326"/>
      <c r="AH388" s="326"/>
      <c r="AI388" s="326"/>
      <c r="AL388" s="326"/>
      <c r="AM388" s="326"/>
      <c r="AN388" s="326"/>
    </row>
    <row r="389" spans="1:40" x14ac:dyDescent="0.15">
      <c r="A389" s="318"/>
      <c r="B389" s="320"/>
      <c r="C389" s="320"/>
      <c r="D389" s="320"/>
      <c r="E389" s="320"/>
      <c r="F389" s="320"/>
      <c r="G389" s="320"/>
      <c r="H389" s="320"/>
      <c r="I389" s="320"/>
      <c r="J389" s="320"/>
      <c r="K389" s="320"/>
      <c r="L389" s="320"/>
      <c r="M389" s="320"/>
      <c r="N389" s="320"/>
      <c r="O389" s="321"/>
      <c r="P389" s="321"/>
      <c r="Y389" s="326"/>
      <c r="Z389" s="326"/>
      <c r="AA389" s="326"/>
      <c r="AB389" s="326"/>
      <c r="AC389" s="326"/>
      <c r="AD389" s="326"/>
      <c r="AG389" s="326"/>
      <c r="AH389" s="326"/>
      <c r="AI389" s="326"/>
      <c r="AL389" s="326"/>
      <c r="AM389" s="326"/>
      <c r="AN389" s="326"/>
    </row>
    <row r="390" spans="1:40" x14ac:dyDescent="0.15">
      <c r="A390" s="318"/>
      <c r="B390" s="320"/>
      <c r="C390" s="320"/>
      <c r="D390" s="320"/>
      <c r="E390" s="320"/>
      <c r="F390" s="320"/>
      <c r="G390" s="320"/>
      <c r="H390" s="320"/>
      <c r="I390" s="320"/>
      <c r="J390" s="320"/>
      <c r="K390" s="320"/>
      <c r="L390" s="320"/>
      <c r="M390" s="320"/>
      <c r="N390" s="320"/>
      <c r="O390" s="321"/>
      <c r="P390" s="321"/>
      <c r="Y390" s="326"/>
      <c r="Z390" s="326"/>
      <c r="AA390" s="326"/>
      <c r="AB390" s="326"/>
      <c r="AC390" s="326"/>
      <c r="AD390" s="326"/>
      <c r="AG390" s="326"/>
      <c r="AH390" s="326"/>
      <c r="AI390" s="326"/>
      <c r="AL390" s="326"/>
      <c r="AM390" s="326"/>
      <c r="AN390" s="326"/>
    </row>
    <row r="391" spans="1:40" x14ac:dyDescent="0.15">
      <c r="A391" s="318"/>
      <c r="B391" s="320"/>
      <c r="C391" s="320"/>
      <c r="D391" s="320"/>
      <c r="E391" s="320"/>
      <c r="F391" s="320"/>
      <c r="G391" s="320"/>
      <c r="H391" s="320"/>
      <c r="I391" s="320"/>
      <c r="J391" s="320"/>
      <c r="K391" s="320"/>
      <c r="L391" s="320"/>
      <c r="M391" s="320"/>
      <c r="N391" s="320"/>
      <c r="O391" s="321"/>
      <c r="P391" s="321"/>
      <c r="Y391" s="326"/>
      <c r="Z391" s="326"/>
      <c r="AA391" s="326"/>
      <c r="AB391" s="326"/>
      <c r="AC391" s="326"/>
      <c r="AD391" s="326"/>
      <c r="AG391" s="326"/>
      <c r="AH391" s="326"/>
      <c r="AI391" s="326"/>
      <c r="AL391" s="326"/>
      <c r="AM391" s="326"/>
      <c r="AN391" s="326"/>
    </row>
    <row r="392" spans="1:40" x14ac:dyDescent="0.15">
      <c r="A392" s="318"/>
      <c r="B392" s="320"/>
      <c r="C392" s="320"/>
      <c r="D392" s="320"/>
      <c r="E392" s="320"/>
      <c r="F392" s="320"/>
      <c r="G392" s="320"/>
      <c r="H392" s="320"/>
      <c r="I392" s="320"/>
      <c r="J392" s="320"/>
      <c r="K392" s="320"/>
      <c r="L392" s="320"/>
      <c r="M392" s="320"/>
      <c r="N392" s="320"/>
      <c r="O392" s="321"/>
      <c r="P392" s="321"/>
      <c r="Y392" s="326"/>
      <c r="Z392" s="326"/>
      <c r="AA392" s="326"/>
      <c r="AB392" s="326"/>
      <c r="AC392" s="326"/>
      <c r="AD392" s="326"/>
      <c r="AG392" s="326"/>
      <c r="AH392" s="326"/>
      <c r="AI392" s="326"/>
      <c r="AL392" s="326"/>
      <c r="AM392" s="326"/>
      <c r="AN392" s="326"/>
    </row>
    <row r="393" spans="1:40" x14ac:dyDescent="0.15">
      <c r="A393" s="318"/>
      <c r="B393" s="320"/>
      <c r="C393" s="320"/>
      <c r="D393" s="320"/>
      <c r="E393" s="320"/>
      <c r="F393" s="320"/>
      <c r="G393" s="320"/>
      <c r="H393" s="320"/>
      <c r="I393" s="320"/>
      <c r="J393" s="320"/>
      <c r="K393" s="320"/>
      <c r="L393" s="320"/>
      <c r="M393" s="320"/>
      <c r="N393" s="320"/>
      <c r="O393" s="321"/>
      <c r="P393" s="321"/>
      <c r="Y393" s="326"/>
      <c r="Z393" s="326"/>
      <c r="AA393" s="326"/>
      <c r="AB393" s="326"/>
      <c r="AC393" s="326"/>
      <c r="AD393" s="326"/>
      <c r="AG393" s="326"/>
      <c r="AH393" s="326"/>
      <c r="AI393" s="326"/>
      <c r="AL393" s="326"/>
      <c r="AM393" s="326"/>
      <c r="AN393" s="326"/>
    </row>
    <row r="394" spans="1:40" x14ac:dyDescent="0.15">
      <c r="A394" s="318"/>
      <c r="B394" s="320"/>
      <c r="C394" s="320"/>
      <c r="D394" s="320"/>
      <c r="E394" s="320"/>
      <c r="F394" s="320"/>
      <c r="G394" s="320"/>
      <c r="H394" s="320"/>
      <c r="I394" s="320"/>
      <c r="J394" s="320"/>
      <c r="K394" s="320"/>
      <c r="L394" s="320"/>
      <c r="M394" s="320"/>
      <c r="N394" s="320"/>
      <c r="O394" s="321"/>
      <c r="P394" s="321"/>
      <c r="Y394" s="326"/>
      <c r="Z394" s="326"/>
      <c r="AA394" s="326"/>
      <c r="AB394" s="326"/>
      <c r="AC394" s="326"/>
      <c r="AD394" s="326"/>
      <c r="AG394" s="326"/>
      <c r="AH394" s="326"/>
      <c r="AI394" s="326"/>
      <c r="AL394" s="326"/>
      <c r="AM394" s="326"/>
      <c r="AN394" s="326"/>
    </row>
    <row r="395" spans="1:40" x14ac:dyDescent="0.15">
      <c r="A395" s="318"/>
      <c r="B395" s="320"/>
      <c r="C395" s="320"/>
      <c r="D395" s="320"/>
      <c r="E395" s="320"/>
      <c r="F395" s="320"/>
      <c r="G395" s="320"/>
      <c r="H395" s="320"/>
      <c r="I395" s="320"/>
      <c r="J395" s="320"/>
      <c r="K395" s="320"/>
      <c r="L395" s="320"/>
      <c r="M395" s="320"/>
      <c r="N395" s="320"/>
      <c r="O395" s="321"/>
      <c r="P395" s="321"/>
      <c r="Y395" s="326"/>
      <c r="Z395" s="326"/>
      <c r="AA395" s="326"/>
      <c r="AB395" s="326"/>
      <c r="AC395" s="326"/>
      <c r="AD395" s="326"/>
      <c r="AG395" s="326"/>
      <c r="AH395" s="326"/>
      <c r="AI395" s="326"/>
      <c r="AL395" s="326"/>
      <c r="AM395" s="326"/>
      <c r="AN395" s="326"/>
    </row>
    <row r="396" spans="1:40" x14ac:dyDescent="0.15">
      <c r="A396" s="318"/>
      <c r="B396" s="320"/>
      <c r="C396" s="320"/>
      <c r="D396" s="320"/>
      <c r="E396" s="320"/>
      <c r="F396" s="320"/>
      <c r="G396" s="320"/>
      <c r="H396" s="320"/>
      <c r="I396" s="320"/>
      <c r="J396" s="320"/>
      <c r="K396" s="320"/>
      <c r="L396" s="320"/>
      <c r="M396" s="320"/>
      <c r="N396" s="320"/>
      <c r="O396" s="321"/>
      <c r="P396" s="321"/>
      <c r="Y396" s="326"/>
      <c r="Z396" s="326"/>
      <c r="AA396" s="326"/>
      <c r="AB396" s="326"/>
      <c r="AC396" s="326"/>
      <c r="AD396" s="326"/>
      <c r="AG396" s="326"/>
      <c r="AH396" s="326"/>
      <c r="AI396" s="326"/>
      <c r="AL396" s="326"/>
      <c r="AM396" s="326"/>
      <c r="AN396" s="326"/>
    </row>
    <row r="397" spans="1:40" x14ac:dyDescent="0.15">
      <c r="A397" s="318"/>
      <c r="B397" s="320"/>
      <c r="C397" s="320"/>
      <c r="D397" s="320"/>
      <c r="E397" s="320"/>
      <c r="F397" s="320"/>
      <c r="G397" s="320"/>
      <c r="H397" s="320"/>
      <c r="I397" s="320"/>
      <c r="J397" s="320"/>
      <c r="K397" s="320"/>
      <c r="L397" s="320"/>
      <c r="M397" s="320"/>
      <c r="N397" s="320"/>
      <c r="O397" s="321"/>
      <c r="P397" s="321"/>
      <c r="Y397" s="326"/>
      <c r="Z397" s="326"/>
      <c r="AA397" s="326"/>
      <c r="AB397" s="326"/>
      <c r="AC397" s="326"/>
      <c r="AD397" s="326"/>
      <c r="AG397" s="326"/>
      <c r="AH397" s="326"/>
      <c r="AI397" s="326"/>
      <c r="AL397" s="326"/>
      <c r="AM397" s="326"/>
      <c r="AN397" s="326"/>
    </row>
    <row r="398" spans="1:40" x14ac:dyDescent="0.15">
      <c r="A398" s="318"/>
      <c r="B398" s="320"/>
      <c r="C398" s="320"/>
      <c r="D398" s="320"/>
      <c r="E398" s="320"/>
      <c r="F398" s="320"/>
      <c r="G398" s="320"/>
      <c r="H398" s="320"/>
      <c r="I398" s="320"/>
      <c r="J398" s="320"/>
      <c r="K398" s="320"/>
      <c r="L398" s="320"/>
      <c r="M398" s="320"/>
      <c r="N398" s="320"/>
      <c r="O398" s="321"/>
      <c r="P398" s="321"/>
      <c r="Y398" s="326"/>
      <c r="Z398" s="326"/>
      <c r="AA398" s="326"/>
      <c r="AB398" s="326"/>
      <c r="AC398" s="326"/>
      <c r="AD398" s="326"/>
      <c r="AG398" s="326"/>
      <c r="AH398" s="326"/>
      <c r="AI398" s="326"/>
      <c r="AL398" s="326"/>
      <c r="AM398" s="326"/>
      <c r="AN398" s="326"/>
    </row>
    <row r="399" spans="1:40" x14ac:dyDescent="0.15">
      <c r="A399" s="318"/>
      <c r="B399" s="320"/>
      <c r="C399" s="320"/>
      <c r="D399" s="320"/>
      <c r="E399" s="320"/>
      <c r="F399" s="320"/>
      <c r="G399" s="320"/>
      <c r="H399" s="320"/>
      <c r="I399" s="320"/>
      <c r="J399" s="320"/>
      <c r="K399" s="320"/>
      <c r="L399" s="320"/>
      <c r="M399" s="320"/>
      <c r="N399" s="320"/>
      <c r="O399" s="321"/>
      <c r="P399" s="321"/>
      <c r="Y399" s="326"/>
      <c r="Z399" s="326"/>
      <c r="AA399" s="326"/>
      <c r="AB399" s="326"/>
      <c r="AC399" s="326"/>
      <c r="AD399" s="326"/>
      <c r="AG399" s="326"/>
      <c r="AH399" s="326"/>
      <c r="AI399" s="326"/>
      <c r="AL399" s="326"/>
      <c r="AM399" s="326"/>
      <c r="AN399" s="326"/>
    </row>
    <row r="400" spans="1:40" x14ac:dyDescent="0.15">
      <c r="A400" s="318"/>
      <c r="B400" s="320"/>
      <c r="C400" s="320"/>
      <c r="D400" s="320"/>
      <c r="E400" s="320"/>
      <c r="F400" s="320"/>
      <c r="G400" s="320"/>
      <c r="H400" s="320"/>
      <c r="I400" s="320"/>
      <c r="J400" s="320"/>
      <c r="K400" s="320"/>
      <c r="L400" s="320"/>
      <c r="M400" s="320"/>
      <c r="N400" s="320"/>
      <c r="O400" s="321"/>
      <c r="P400" s="321"/>
      <c r="Y400" s="326"/>
      <c r="Z400" s="326"/>
      <c r="AA400" s="326"/>
      <c r="AB400" s="326"/>
      <c r="AC400" s="326"/>
      <c r="AD400" s="326"/>
      <c r="AG400" s="326"/>
      <c r="AH400" s="326"/>
      <c r="AI400" s="326"/>
      <c r="AL400" s="326"/>
      <c r="AM400" s="326"/>
      <c r="AN400" s="326"/>
    </row>
    <row r="401" spans="1:40" x14ac:dyDescent="0.15">
      <c r="A401" s="318"/>
      <c r="B401" s="320"/>
      <c r="C401" s="320"/>
      <c r="D401" s="320"/>
      <c r="E401" s="320"/>
      <c r="F401" s="320"/>
      <c r="G401" s="320"/>
      <c r="H401" s="320"/>
      <c r="I401" s="320"/>
      <c r="J401" s="320"/>
      <c r="K401" s="320"/>
      <c r="L401" s="320"/>
      <c r="M401" s="320"/>
      <c r="N401" s="320"/>
      <c r="O401" s="321"/>
      <c r="P401" s="321"/>
      <c r="Y401" s="326"/>
      <c r="Z401" s="326"/>
      <c r="AA401" s="326"/>
      <c r="AB401" s="326"/>
      <c r="AC401" s="326"/>
      <c r="AD401" s="326"/>
      <c r="AG401" s="326"/>
      <c r="AH401" s="326"/>
      <c r="AI401" s="326"/>
      <c r="AL401" s="326"/>
      <c r="AM401" s="326"/>
      <c r="AN401" s="326"/>
    </row>
    <row r="402" spans="1:40" x14ac:dyDescent="0.15">
      <c r="A402" s="318"/>
      <c r="B402" s="320"/>
      <c r="C402" s="320"/>
      <c r="D402" s="320"/>
      <c r="E402" s="320"/>
      <c r="F402" s="320"/>
      <c r="G402" s="320"/>
      <c r="H402" s="320"/>
      <c r="I402" s="320"/>
      <c r="J402" s="320"/>
      <c r="K402" s="320"/>
      <c r="L402" s="320"/>
      <c r="M402" s="320"/>
      <c r="N402" s="320"/>
      <c r="O402" s="321"/>
      <c r="P402" s="321"/>
      <c r="Y402" s="326"/>
      <c r="Z402" s="326"/>
      <c r="AA402" s="326"/>
      <c r="AB402" s="326"/>
      <c r="AC402" s="326"/>
      <c r="AD402" s="326"/>
      <c r="AG402" s="326"/>
      <c r="AH402" s="326"/>
      <c r="AI402" s="326"/>
      <c r="AL402" s="326"/>
      <c r="AM402" s="326"/>
      <c r="AN402" s="326"/>
    </row>
    <row r="403" spans="1:40" x14ac:dyDescent="0.15">
      <c r="A403" s="318"/>
      <c r="B403" s="320"/>
      <c r="C403" s="320"/>
      <c r="D403" s="320"/>
      <c r="E403" s="320"/>
      <c r="F403" s="320"/>
      <c r="G403" s="320"/>
      <c r="H403" s="320"/>
      <c r="I403" s="320"/>
      <c r="J403" s="320"/>
      <c r="K403" s="320"/>
      <c r="L403" s="320"/>
      <c r="M403" s="320"/>
      <c r="N403" s="320"/>
      <c r="O403" s="321"/>
      <c r="P403" s="321"/>
      <c r="Y403" s="326"/>
      <c r="Z403" s="326"/>
      <c r="AA403" s="326"/>
      <c r="AB403" s="326"/>
      <c r="AC403" s="326"/>
      <c r="AD403" s="326"/>
      <c r="AG403" s="326"/>
      <c r="AH403" s="326"/>
      <c r="AI403" s="326"/>
      <c r="AL403" s="326"/>
      <c r="AM403" s="326"/>
      <c r="AN403" s="326"/>
    </row>
    <row r="404" spans="1:40" x14ac:dyDescent="0.15">
      <c r="A404" s="318"/>
      <c r="B404" s="320"/>
      <c r="C404" s="320"/>
      <c r="D404" s="320"/>
      <c r="E404" s="320"/>
      <c r="F404" s="320"/>
      <c r="G404" s="320"/>
      <c r="H404" s="320"/>
      <c r="I404" s="320"/>
      <c r="J404" s="320"/>
      <c r="K404" s="320"/>
      <c r="L404" s="320"/>
      <c r="M404" s="320"/>
      <c r="N404" s="320"/>
      <c r="O404" s="321"/>
      <c r="P404" s="321"/>
      <c r="Y404" s="326"/>
      <c r="Z404" s="326"/>
      <c r="AA404" s="326"/>
      <c r="AB404" s="326"/>
      <c r="AC404" s="326"/>
      <c r="AD404" s="326"/>
      <c r="AG404" s="326"/>
      <c r="AH404" s="326"/>
      <c r="AI404" s="326"/>
      <c r="AL404" s="326"/>
      <c r="AM404" s="326"/>
      <c r="AN404" s="326"/>
    </row>
    <row r="405" spans="1:40" x14ac:dyDescent="0.15">
      <c r="A405" s="318"/>
      <c r="B405" s="320"/>
      <c r="C405" s="320"/>
      <c r="D405" s="320"/>
      <c r="E405" s="320"/>
      <c r="F405" s="320"/>
      <c r="G405" s="320"/>
      <c r="H405" s="320"/>
      <c r="I405" s="320"/>
      <c r="J405" s="320"/>
      <c r="K405" s="320"/>
      <c r="L405" s="320"/>
      <c r="M405" s="320"/>
      <c r="N405" s="320"/>
      <c r="O405" s="321"/>
      <c r="P405" s="321"/>
      <c r="Y405" s="326"/>
      <c r="Z405" s="326"/>
      <c r="AA405" s="326"/>
      <c r="AB405" s="326"/>
      <c r="AC405" s="326"/>
      <c r="AD405" s="326"/>
      <c r="AG405" s="326"/>
      <c r="AH405" s="326"/>
      <c r="AI405" s="326"/>
      <c r="AL405" s="326"/>
      <c r="AM405" s="326"/>
      <c r="AN405" s="326"/>
    </row>
    <row r="406" spans="1:40" x14ac:dyDescent="0.15">
      <c r="A406" s="318"/>
      <c r="B406" s="320"/>
      <c r="C406" s="320"/>
      <c r="D406" s="320"/>
      <c r="E406" s="320"/>
      <c r="F406" s="320"/>
      <c r="G406" s="320"/>
      <c r="H406" s="320"/>
      <c r="I406" s="320"/>
      <c r="J406" s="320"/>
      <c r="K406" s="320"/>
      <c r="L406" s="320"/>
      <c r="M406" s="320"/>
      <c r="N406" s="320"/>
      <c r="O406" s="321"/>
      <c r="P406" s="321"/>
      <c r="Y406" s="326"/>
      <c r="Z406" s="326"/>
      <c r="AA406" s="326"/>
      <c r="AB406" s="326"/>
      <c r="AC406" s="326"/>
      <c r="AD406" s="326"/>
      <c r="AG406" s="326"/>
      <c r="AH406" s="326"/>
      <c r="AI406" s="326"/>
      <c r="AL406" s="326"/>
      <c r="AM406" s="326"/>
      <c r="AN406" s="326"/>
    </row>
    <row r="407" spans="1:40" x14ac:dyDescent="0.15">
      <c r="A407" s="318"/>
      <c r="B407" s="320"/>
      <c r="C407" s="320"/>
      <c r="D407" s="320"/>
      <c r="E407" s="320"/>
      <c r="F407" s="320"/>
      <c r="G407" s="320"/>
      <c r="H407" s="320"/>
      <c r="I407" s="320"/>
      <c r="J407" s="320"/>
      <c r="K407" s="320"/>
      <c r="L407" s="320"/>
      <c r="M407" s="320"/>
      <c r="N407" s="320"/>
      <c r="O407" s="321"/>
      <c r="P407" s="321"/>
      <c r="Y407" s="326"/>
      <c r="Z407" s="326"/>
      <c r="AA407" s="326"/>
      <c r="AB407" s="326"/>
      <c r="AC407" s="326"/>
      <c r="AD407" s="326"/>
      <c r="AG407" s="326"/>
      <c r="AH407" s="326"/>
      <c r="AI407" s="326"/>
      <c r="AL407" s="326"/>
      <c r="AM407" s="326"/>
      <c r="AN407" s="326"/>
    </row>
    <row r="408" spans="1:40" x14ac:dyDescent="0.15">
      <c r="A408" s="318"/>
      <c r="B408" s="320"/>
      <c r="C408" s="320"/>
      <c r="D408" s="320"/>
      <c r="E408" s="320"/>
      <c r="F408" s="320"/>
      <c r="G408" s="320"/>
      <c r="H408" s="320"/>
      <c r="I408" s="320"/>
      <c r="J408" s="320"/>
      <c r="K408" s="320"/>
      <c r="L408" s="320"/>
      <c r="M408" s="320"/>
      <c r="N408" s="320"/>
      <c r="O408" s="321"/>
      <c r="P408" s="321"/>
      <c r="Y408" s="326"/>
      <c r="Z408" s="326"/>
      <c r="AA408" s="326"/>
      <c r="AB408" s="326"/>
      <c r="AC408" s="326"/>
      <c r="AD408" s="326"/>
      <c r="AG408" s="326"/>
      <c r="AH408" s="326"/>
      <c r="AI408" s="326"/>
      <c r="AL408" s="326"/>
      <c r="AM408" s="326"/>
      <c r="AN408" s="326"/>
    </row>
    <row r="409" spans="1:40" x14ac:dyDescent="0.15">
      <c r="A409" s="318"/>
      <c r="B409" s="320"/>
      <c r="C409" s="320"/>
      <c r="D409" s="320"/>
      <c r="E409" s="320"/>
      <c r="F409" s="320"/>
      <c r="G409" s="320"/>
      <c r="H409" s="320"/>
      <c r="I409" s="320"/>
      <c r="J409" s="320"/>
      <c r="K409" s="320"/>
      <c r="L409" s="320"/>
      <c r="M409" s="320"/>
      <c r="N409" s="320"/>
      <c r="O409" s="321"/>
      <c r="P409" s="321"/>
      <c r="Y409" s="326"/>
      <c r="Z409" s="326"/>
      <c r="AA409" s="326"/>
      <c r="AB409" s="326"/>
      <c r="AC409" s="326"/>
      <c r="AD409" s="326"/>
      <c r="AG409" s="326"/>
      <c r="AH409" s="326"/>
      <c r="AI409" s="326"/>
      <c r="AL409" s="326"/>
      <c r="AM409" s="326"/>
      <c r="AN409" s="326"/>
    </row>
    <row r="410" spans="1:40" x14ac:dyDescent="0.15">
      <c r="A410" s="318"/>
      <c r="B410" s="320"/>
      <c r="C410" s="320"/>
      <c r="D410" s="320"/>
      <c r="E410" s="320"/>
      <c r="F410" s="320"/>
      <c r="G410" s="320"/>
      <c r="H410" s="320"/>
      <c r="I410" s="320"/>
      <c r="J410" s="320"/>
      <c r="K410" s="320"/>
      <c r="L410" s="320"/>
      <c r="M410" s="320"/>
      <c r="N410" s="320"/>
      <c r="O410" s="321"/>
      <c r="P410" s="321"/>
      <c r="Y410" s="326"/>
      <c r="Z410" s="326"/>
      <c r="AA410" s="326"/>
      <c r="AB410" s="326"/>
      <c r="AC410" s="326"/>
      <c r="AD410" s="326"/>
      <c r="AG410" s="326"/>
      <c r="AH410" s="326"/>
      <c r="AI410" s="326"/>
      <c r="AL410" s="326"/>
      <c r="AM410" s="326"/>
      <c r="AN410" s="326"/>
    </row>
    <row r="411" spans="1:40" x14ac:dyDescent="0.15">
      <c r="A411" s="318"/>
      <c r="B411" s="320"/>
      <c r="C411" s="320"/>
      <c r="D411" s="320"/>
      <c r="E411" s="320"/>
      <c r="F411" s="320"/>
      <c r="G411" s="320"/>
      <c r="H411" s="320"/>
      <c r="I411" s="320"/>
      <c r="J411" s="320"/>
      <c r="K411" s="320"/>
      <c r="L411" s="320"/>
      <c r="M411" s="320"/>
      <c r="N411" s="320"/>
      <c r="O411" s="321"/>
      <c r="P411" s="321"/>
      <c r="Y411" s="326"/>
      <c r="Z411" s="326"/>
      <c r="AA411" s="326"/>
      <c r="AB411" s="326"/>
      <c r="AC411" s="326"/>
      <c r="AD411" s="326"/>
      <c r="AG411" s="326"/>
      <c r="AH411" s="326"/>
      <c r="AI411" s="326"/>
      <c r="AL411" s="326"/>
      <c r="AM411" s="326"/>
      <c r="AN411" s="326"/>
    </row>
    <row r="412" spans="1:40" x14ac:dyDescent="0.15">
      <c r="A412" s="318"/>
      <c r="B412" s="320"/>
      <c r="C412" s="320"/>
      <c r="D412" s="320"/>
      <c r="E412" s="320"/>
      <c r="F412" s="320"/>
      <c r="G412" s="320"/>
      <c r="H412" s="320"/>
      <c r="I412" s="320"/>
      <c r="J412" s="320"/>
      <c r="K412" s="320"/>
      <c r="L412" s="320"/>
      <c r="M412" s="320"/>
      <c r="N412" s="320"/>
      <c r="O412" s="321"/>
      <c r="P412" s="321"/>
      <c r="Y412" s="326"/>
      <c r="Z412" s="326"/>
      <c r="AA412" s="326"/>
      <c r="AB412" s="326"/>
      <c r="AC412" s="326"/>
      <c r="AD412" s="326"/>
      <c r="AG412" s="326"/>
      <c r="AH412" s="326"/>
      <c r="AI412" s="326"/>
      <c r="AL412" s="326"/>
      <c r="AM412" s="326"/>
      <c r="AN412" s="326"/>
    </row>
    <row r="413" spans="1:40" x14ac:dyDescent="0.15">
      <c r="A413" s="318"/>
      <c r="B413" s="320"/>
      <c r="C413" s="320"/>
      <c r="D413" s="320"/>
      <c r="E413" s="320"/>
      <c r="F413" s="320"/>
      <c r="G413" s="320"/>
      <c r="H413" s="320"/>
      <c r="I413" s="320"/>
      <c r="J413" s="320"/>
      <c r="K413" s="320"/>
      <c r="L413" s="320"/>
      <c r="M413" s="320"/>
      <c r="N413" s="320"/>
      <c r="O413" s="321"/>
      <c r="P413" s="321"/>
      <c r="Y413" s="326"/>
      <c r="Z413" s="326"/>
      <c r="AA413" s="326"/>
      <c r="AB413" s="326"/>
      <c r="AC413" s="326"/>
      <c r="AD413" s="326"/>
      <c r="AG413" s="326"/>
      <c r="AH413" s="326"/>
      <c r="AI413" s="326"/>
      <c r="AL413" s="326"/>
      <c r="AM413" s="326"/>
      <c r="AN413" s="326"/>
    </row>
    <row r="414" spans="1:40" x14ac:dyDescent="0.15">
      <c r="A414" s="318"/>
      <c r="B414" s="320"/>
      <c r="C414" s="320"/>
      <c r="D414" s="320"/>
      <c r="E414" s="320"/>
      <c r="F414" s="320"/>
      <c r="G414" s="320"/>
      <c r="H414" s="320"/>
      <c r="I414" s="320"/>
      <c r="J414" s="320"/>
      <c r="K414" s="320"/>
      <c r="L414" s="320"/>
      <c r="M414" s="320"/>
      <c r="N414" s="320"/>
      <c r="O414" s="321"/>
      <c r="P414" s="321"/>
      <c r="Y414" s="326"/>
      <c r="Z414" s="326"/>
      <c r="AA414" s="326"/>
      <c r="AB414" s="326"/>
      <c r="AC414" s="326"/>
      <c r="AD414" s="326"/>
      <c r="AG414" s="326"/>
      <c r="AH414" s="326"/>
      <c r="AI414" s="326"/>
      <c r="AL414" s="326"/>
      <c r="AM414" s="326"/>
      <c r="AN414" s="326"/>
    </row>
    <row r="415" spans="1:40" x14ac:dyDescent="0.15">
      <c r="A415" s="318"/>
      <c r="B415" s="320"/>
      <c r="C415" s="320"/>
      <c r="D415" s="320"/>
      <c r="E415" s="320"/>
      <c r="F415" s="320"/>
      <c r="G415" s="320"/>
      <c r="H415" s="320"/>
      <c r="I415" s="320"/>
      <c r="J415" s="320"/>
      <c r="K415" s="320"/>
      <c r="L415" s="320"/>
      <c r="M415" s="320"/>
      <c r="N415" s="320"/>
      <c r="O415" s="321"/>
      <c r="P415" s="321"/>
      <c r="Y415" s="326"/>
      <c r="Z415" s="326"/>
      <c r="AA415" s="326"/>
      <c r="AB415" s="326"/>
      <c r="AC415" s="326"/>
      <c r="AD415" s="326"/>
      <c r="AG415" s="326"/>
      <c r="AH415" s="326"/>
      <c r="AI415" s="326"/>
      <c r="AL415" s="326"/>
      <c r="AM415" s="326"/>
      <c r="AN415" s="326"/>
    </row>
    <row r="416" spans="1:40" x14ac:dyDescent="0.15">
      <c r="A416" s="318"/>
      <c r="B416" s="320"/>
      <c r="C416" s="320"/>
      <c r="D416" s="320"/>
      <c r="E416" s="320"/>
      <c r="F416" s="320"/>
      <c r="G416" s="320"/>
      <c r="H416" s="320"/>
      <c r="I416" s="320"/>
      <c r="J416" s="320"/>
      <c r="K416" s="320"/>
      <c r="L416" s="320"/>
      <c r="M416" s="320"/>
      <c r="N416" s="320"/>
      <c r="O416" s="321"/>
      <c r="P416" s="321"/>
      <c r="Y416" s="326"/>
      <c r="Z416" s="326"/>
      <c r="AA416" s="326"/>
      <c r="AB416" s="326"/>
      <c r="AC416" s="326"/>
      <c r="AD416" s="326"/>
      <c r="AG416" s="326"/>
      <c r="AH416" s="326"/>
      <c r="AI416" s="326"/>
      <c r="AL416" s="326"/>
      <c r="AM416" s="326"/>
      <c r="AN416" s="326"/>
    </row>
    <row r="417" spans="1:40" x14ac:dyDescent="0.15">
      <c r="A417" s="318"/>
      <c r="B417" s="320"/>
      <c r="C417" s="320"/>
      <c r="D417" s="320"/>
      <c r="E417" s="320"/>
      <c r="F417" s="320"/>
      <c r="G417" s="320"/>
      <c r="H417" s="320"/>
      <c r="I417" s="320"/>
      <c r="J417" s="320"/>
      <c r="K417" s="320"/>
      <c r="L417" s="320"/>
      <c r="M417" s="320"/>
      <c r="N417" s="320"/>
      <c r="O417" s="321"/>
      <c r="P417" s="321"/>
      <c r="Y417" s="326"/>
      <c r="Z417" s="326"/>
      <c r="AA417" s="326"/>
      <c r="AB417" s="326"/>
      <c r="AC417" s="326"/>
      <c r="AD417" s="326"/>
      <c r="AG417" s="326"/>
      <c r="AH417" s="326"/>
      <c r="AI417" s="326"/>
      <c r="AL417" s="326"/>
      <c r="AM417" s="326"/>
      <c r="AN417" s="326"/>
    </row>
    <row r="418" spans="1:40" x14ac:dyDescent="0.15">
      <c r="A418" s="318"/>
      <c r="B418" s="320"/>
      <c r="C418" s="320"/>
      <c r="D418" s="320"/>
      <c r="E418" s="320"/>
      <c r="F418" s="320"/>
      <c r="G418" s="320"/>
      <c r="H418" s="320"/>
      <c r="I418" s="320"/>
      <c r="J418" s="320"/>
      <c r="K418" s="320"/>
      <c r="L418" s="320"/>
      <c r="M418" s="320"/>
      <c r="N418" s="320"/>
      <c r="O418" s="321"/>
      <c r="P418" s="321"/>
      <c r="Y418" s="326"/>
      <c r="Z418" s="326"/>
      <c r="AA418" s="326"/>
      <c r="AB418" s="326"/>
      <c r="AC418" s="326"/>
      <c r="AD418" s="326"/>
      <c r="AG418" s="326"/>
      <c r="AH418" s="326"/>
      <c r="AI418" s="326"/>
      <c r="AL418" s="326"/>
      <c r="AM418" s="326"/>
      <c r="AN418" s="326"/>
    </row>
    <row r="419" spans="1:40" x14ac:dyDescent="0.15">
      <c r="A419" s="318"/>
      <c r="B419" s="320"/>
      <c r="C419" s="320"/>
      <c r="D419" s="320"/>
      <c r="E419" s="320"/>
      <c r="F419" s="320"/>
      <c r="G419" s="320"/>
      <c r="H419" s="320"/>
      <c r="I419" s="320"/>
      <c r="J419" s="320"/>
      <c r="K419" s="320"/>
      <c r="L419" s="320"/>
      <c r="M419" s="320"/>
      <c r="N419" s="320"/>
      <c r="O419" s="321"/>
      <c r="P419" s="321"/>
      <c r="Y419" s="326"/>
      <c r="Z419" s="326"/>
      <c r="AA419" s="326"/>
      <c r="AB419" s="326"/>
      <c r="AC419" s="326"/>
      <c r="AD419" s="326"/>
      <c r="AG419" s="326"/>
      <c r="AH419" s="326"/>
      <c r="AI419" s="326"/>
      <c r="AL419" s="326"/>
      <c r="AM419" s="326"/>
      <c r="AN419" s="326"/>
    </row>
    <row r="420" spans="1:40" x14ac:dyDescent="0.15">
      <c r="A420" s="318"/>
      <c r="B420" s="320"/>
      <c r="C420" s="320"/>
      <c r="D420" s="320"/>
      <c r="E420" s="320"/>
      <c r="F420" s="320"/>
      <c r="G420" s="320"/>
      <c r="H420" s="320"/>
      <c r="I420" s="320"/>
      <c r="J420" s="320"/>
      <c r="K420" s="320"/>
      <c r="L420" s="320"/>
      <c r="M420" s="320"/>
      <c r="N420" s="320"/>
      <c r="O420" s="321"/>
      <c r="P420" s="321"/>
      <c r="Y420" s="326"/>
      <c r="Z420" s="326"/>
      <c r="AA420" s="326"/>
      <c r="AB420" s="326"/>
      <c r="AC420" s="326"/>
      <c r="AD420" s="326"/>
      <c r="AG420" s="326"/>
      <c r="AH420" s="326"/>
      <c r="AI420" s="326"/>
      <c r="AL420" s="326"/>
      <c r="AM420" s="326"/>
      <c r="AN420" s="326"/>
    </row>
    <row r="421" spans="1:40" x14ac:dyDescent="0.15">
      <c r="A421" s="318"/>
      <c r="B421" s="320"/>
      <c r="C421" s="320"/>
      <c r="D421" s="320"/>
      <c r="E421" s="320"/>
      <c r="F421" s="320"/>
      <c r="G421" s="320"/>
      <c r="H421" s="320"/>
      <c r="I421" s="320"/>
      <c r="J421" s="320"/>
      <c r="K421" s="320"/>
      <c r="L421" s="320"/>
      <c r="M421" s="320"/>
      <c r="N421" s="320"/>
      <c r="O421" s="321"/>
      <c r="P421" s="321"/>
      <c r="Y421" s="326"/>
      <c r="Z421" s="326"/>
      <c r="AA421" s="326"/>
      <c r="AB421" s="326"/>
      <c r="AC421" s="326"/>
      <c r="AD421" s="326"/>
      <c r="AG421" s="326"/>
      <c r="AH421" s="326"/>
      <c r="AI421" s="326"/>
      <c r="AL421" s="326"/>
      <c r="AM421" s="326"/>
      <c r="AN421" s="326"/>
    </row>
    <row r="422" spans="1:40" x14ac:dyDescent="0.15">
      <c r="A422" s="318"/>
      <c r="B422" s="320"/>
      <c r="C422" s="320"/>
      <c r="D422" s="320"/>
      <c r="E422" s="320"/>
      <c r="F422" s="320"/>
      <c r="G422" s="320"/>
      <c r="H422" s="320"/>
      <c r="I422" s="320"/>
      <c r="J422" s="320"/>
      <c r="K422" s="320"/>
      <c r="L422" s="320"/>
      <c r="M422" s="320"/>
      <c r="N422" s="320"/>
      <c r="O422" s="321"/>
      <c r="P422" s="321"/>
      <c r="Y422" s="326"/>
      <c r="Z422" s="326"/>
      <c r="AA422" s="326"/>
      <c r="AB422" s="326"/>
      <c r="AC422" s="326"/>
      <c r="AD422" s="326"/>
      <c r="AG422" s="326"/>
      <c r="AH422" s="326"/>
      <c r="AI422" s="326"/>
      <c r="AL422" s="326"/>
      <c r="AM422" s="326"/>
      <c r="AN422" s="326"/>
    </row>
    <row r="423" spans="1:40" x14ac:dyDescent="0.15">
      <c r="A423" s="318"/>
      <c r="B423" s="320"/>
      <c r="C423" s="320"/>
      <c r="D423" s="320"/>
      <c r="E423" s="320"/>
      <c r="F423" s="320"/>
      <c r="G423" s="320"/>
      <c r="H423" s="320"/>
      <c r="I423" s="320"/>
      <c r="J423" s="320"/>
      <c r="K423" s="320"/>
      <c r="L423" s="320"/>
      <c r="M423" s="320"/>
      <c r="N423" s="320"/>
      <c r="O423" s="321"/>
      <c r="P423" s="321"/>
      <c r="Y423" s="326"/>
      <c r="Z423" s="326"/>
      <c r="AA423" s="326"/>
      <c r="AB423" s="326"/>
      <c r="AC423" s="326"/>
      <c r="AD423" s="326"/>
      <c r="AG423" s="326"/>
      <c r="AH423" s="326"/>
      <c r="AI423" s="326"/>
      <c r="AL423" s="326"/>
      <c r="AM423" s="326"/>
      <c r="AN423" s="326"/>
    </row>
    <row r="424" spans="1:40" x14ac:dyDescent="0.15">
      <c r="A424" s="318"/>
      <c r="B424" s="320"/>
      <c r="C424" s="320"/>
      <c r="D424" s="320"/>
      <c r="E424" s="320"/>
      <c r="F424" s="320"/>
      <c r="G424" s="320"/>
      <c r="H424" s="320"/>
      <c r="I424" s="320"/>
      <c r="J424" s="320"/>
      <c r="K424" s="320"/>
      <c r="L424" s="320"/>
      <c r="M424" s="320"/>
      <c r="N424" s="320"/>
      <c r="O424" s="321"/>
      <c r="P424" s="321"/>
      <c r="Y424" s="326"/>
      <c r="Z424" s="326"/>
      <c r="AA424" s="326"/>
      <c r="AB424" s="326"/>
      <c r="AC424" s="326"/>
      <c r="AD424" s="326"/>
      <c r="AG424" s="326"/>
      <c r="AH424" s="326"/>
      <c r="AI424" s="326"/>
      <c r="AL424" s="326"/>
      <c r="AM424" s="326"/>
      <c r="AN424" s="326"/>
    </row>
    <row r="425" spans="1:40" x14ac:dyDescent="0.15">
      <c r="A425" s="318"/>
      <c r="B425" s="320"/>
      <c r="C425" s="320"/>
      <c r="D425" s="320"/>
      <c r="E425" s="320"/>
      <c r="F425" s="320"/>
      <c r="G425" s="320"/>
      <c r="H425" s="320"/>
      <c r="I425" s="320"/>
      <c r="J425" s="320"/>
      <c r="K425" s="320"/>
      <c r="L425" s="320"/>
      <c r="M425" s="320"/>
      <c r="N425" s="320"/>
      <c r="O425" s="321"/>
      <c r="P425" s="321"/>
      <c r="Y425" s="326"/>
      <c r="Z425" s="326"/>
      <c r="AA425" s="326"/>
      <c r="AB425" s="326"/>
      <c r="AC425" s="326"/>
      <c r="AD425" s="326"/>
      <c r="AG425" s="326"/>
      <c r="AH425" s="326"/>
      <c r="AI425" s="326"/>
      <c r="AL425" s="326"/>
      <c r="AM425" s="326"/>
      <c r="AN425" s="326"/>
    </row>
    <row r="426" spans="1:40" x14ac:dyDescent="0.15">
      <c r="A426" s="318"/>
      <c r="B426" s="320"/>
      <c r="C426" s="320"/>
      <c r="D426" s="320"/>
      <c r="E426" s="320"/>
      <c r="F426" s="320"/>
      <c r="G426" s="320"/>
      <c r="H426" s="320"/>
      <c r="I426" s="320"/>
      <c r="J426" s="320"/>
      <c r="K426" s="320"/>
      <c r="L426" s="320"/>
      <c r="M426" s="320"/>
      <c r="N426" s="320"/>
      <c r="O426" s="321"/>
      <c r="P426" s="321"/>
      <c r="Y426" s="326"/>
      <c r="Z426" s="326"/>
      <c r="AA426" s="326"/>
      <c r="AB426" s="326"/>
      <c r="AC426" s="326"/>
      <c r="AD426" s="326"/>
      <c r="AG426" s="326"/>
      <c r="AH426" s="326"/>
      <c r="AI426" s="326"/>
      <c r="AL426" s="326"/>
      <c r="AM426" s="326"/>
      <c r="AN426" s="326"/>
    </row>
    <row r="427" spans="1:40" x14ac:dyDescent="0.15">
      <c r="A427" s="318"/>
      <c r="B427" s="320"/>
      <c r="C427" s="320"/>
      <c r="D427" s="320"/>
      <c r="E427" s="320"/>
      <c r="F427" s="320"/>
      <c r="G427" s="320"/>
      <c r="H427" s="320"/>
      <c r="I427" s="320"/>
      <c r="J427" s="320"/>
      <c r="K427" s="320"/>
      <c r="L427" s="320"/>
      <c r="M427" s="320"/>
      <c r="N427" s="320"/>
      <c r="O427" s="321"/>
      <c r="P427" s="321"/>
      <c r="Y427" s="326"/>
      <c r="Z427" s="326"/>
      <c r="AA427" s="326"/>
      <c r="AB427" s="326"/>
      <c r="AC427" s="326"/>
      <c r="AD427" s="326"/>
      <c r="AG427" s="326"/>
      <c r="AH427" s="326"/>
      <c r="AI427" s="326"/>
      <c r="AL427" s="326"/>
      <c r="AM427" s="326"/>
      <c r="AN427" s="326"/>
    </row>
    <row r="428" spans="1:40" x14ac:dyDescent="0.15">
      <c r="A428" s="318"/>
      <c r="B428" s="320"/>
      <c r="C428" s="320"/>
      <c r="D428" s="320"/>
      <c r="E428" s="320"/>
      <c r="F428" s="320"/>
      <c r="G428" s="320"/>
      <c r="H428" s="320"/>
      <c r="I428" s="320"/>
      <c r="J428" s="320"/>
      <c r="K428" s="320"/>
      <c r="L428" s="320"/>
      <c r="M428" s="320"/>
      <c r="N428" s="320"/>
      <c r="O428" s="321"/>
      <c r="P428" s="321"/>
      <c r="Y428" s="326"/>
      <c r="Z428" s="326"/>
      <c r="AA428" s="326"/>
      <c r="AB428" s="326"/>
      <c r="AC428" s="326"/>
      <c r="AD428" s="326"/>
      <c r="AG428" s="326"/>
      <c r="AH428" s="326"/>
      <c r="AI428" s="326"/>
      <c r="AL428" s="326"/>
      <c r="AM428" s="326"/>
      <c r="AN428" s="326"/>
    </row>
    <row r="429" spans="1:40" x14ac:dyDescent="0.15">
      <c r="A429" s="318"/>
      <c r="B429" s="320"/>
      <c r="C429" s="320"/>
      <c r="D429" s="320"/>
      <c r="E429" s="320"/>
      <c r="F429" s="320"/>
      <c r="G429" s="320"/>
      <c r="H429" s="320"/>
      <c r="I429" s="320"/>
      <c r="J429" s="320"/>
      <c r="K429" s="320"/>
      <c r="L429" s="320"/>
      <c r="M429" s="320"/>
      <c r="N429" s="320"/>
      <c r="O429" s="321"/>
      <c r="P429" s="321"/>
      <c r="Y429" s="326"/>
      <c r="Z429" s="326"/>
      <c r="AA429" s="326"/>
      <c r="AB429" s="326"/>
      <c r="AC429" s="326"/>
      <c r="AD429" s="326"/>
      <c r="AG429" s="326"/>
      <c r="AH429" s="326"/>
      <c r="AI429" s="326"/>
      <c r="AL429" s="326"/>
      <c r="AM429" s="326"/>
      <c r="AN429" s="326"/>
    </row>
    <row r="430" spans="1:40" x14ac:dyDescent="0.15">
      <c r="A430" s="318"/>
      <c r="B430" s="320"/>
      <c r="C430" s="320"/>
      <c r="D430" s="320"/>
      <c r="E430" s="320"/>
      <c r="F430" s="320"/>
      <c r="G430" s="320"/>
      <c r="H430" s="320"/>
      <c r="I430" s="320"/>
      <c r="J430" s="320"/>
      <c r="K430" s="320"/>
      <c r="L430" s="320"/>
      <c r="M430" s="320"/>
      <c r="N430" s="320"/>
      <c r="O430" s="321"/>
      <c r="P430" s="321"/>
      <c r="Y430" s="326"/>
      <c r="Z430" s="326"/>
      <c r="AA430" s="326"/>
      <c r="AB430" s="326"/>
      <c r="AC430" s="326"/>
      <c r="AD430" s="326"/>
      <c r="AG430" s="326"/>
      <c r="AH430" s="326"/>
      <c r="AI430" s="326"/>
      <c r="AL430" s="326"/>
      <c r="AM430" s="326"/>
      <c r="AN430" s="326"/>
    </row>
    <row r="431" spans="1:40" x14ac:dyDescent="0.15">
      <c r="A431" s="318"/>
      <c r="B431" s="320"/>
      <c r="C431" s="320"/>
      <c r="D431" s="320"/>
      <c r="E431" s="320"/>
      <c r="F431" s="320"/>
      <c r="G431" s="320"/>
      <c r="H431" s="320"/>
      <c r="I431" s="320"/>
      <c r="J431" s="320"/>
      <c r="K431" s="320"/>
      <c r="L431" s="320"/>
      <c r="M431" s="320"/>
      <c r="N431" s="320"/>
      <c r="O431" s="321"/>
      <c r="P431" s="321"/>
      <c r="Y431" s="326"/>
      <c r="Z431" s="326"/>
      <c r="AA431" s="326"/>
      <c r="AB431" s="326"/>
      <c r="AC431" s="326"/>
      <c r="AD431" s="326"/>
      <c r="AG431" s="326"/>
      <c r="AH431" s="326"/>
      <c r="AI431" s="326"/>
      <c r="AL431" s="326"/>
      <c r="AM431" s="326"/>
      <c r="AN431" s="326"/>
    </row>
    <row r="432" spans="1:40" x14ac:dyDescent="0.15">
      <c r="A432" s="318"/>
      <c r="B432" s="320"/>
      <c r="C432" s="320"/>
      <c r="D432" s="320"/>
      <c r="E432" s="320"/>
      <c r="F432" s="320"/>
      <c r="G432" s="320"/>
      <c r="H432" s="320"/>
      <c r="I432" s="320"/>
      <c r="J432" s="320"/>
      <c r="K432" s="320"/>
      <c r="L432" s="320"/>
      <c r="M432" s="320"/>
      <c r="N432" s="320"/>
      <c r="O432" s="321"/>
      <c r="P432" s="321"/>
      <c r="Y432" s="326"/>
      <c r="Z432" s="326"/>
      <c r="AA432" s="326"/>
      <c r="AB432" s="326"/>
      <c r="AC432" s="326"/>
      <c r="AD432" s="326"/>
      <c r="AG432" s="326"/>
      <c r="AH432" s="326"/>
      <c r="AI432" s="326"/>
      <c r="AL432" s="326"/>
      <c r="AM432" s="326"/>
      <c r="AN432" s="326"/>
    </row>
    <row r="433" spans="1:40" x14ac:dyDescent="0.15">
      <c r="A433" s="318"/>
      <c r="B433" s="320"/>
      <c r="C433" s="320"/>
      <c r="D433" s="320"/>
      <c r="E433" s="320"/>
      <c r="F433" s="320"/>
      <c r="G433" s="320"/>
      <c r="H433" s="320"/>
      <c r="I433" s="320"/>
      <c r="J433" s="320"/>
      <c r="K433" s="320"/>
      <c r="L433" s="320"/>
      <c r="M433" s="320"/>
      <c r="N433" s="320"/>
      <c r="O433" s="321"/>
      <c r="P433" s="321"/>
      <c r="Y433" s="326"/>
      <c r="Z433" s="326"/>
      <c r="AA433" s="326"/>
      <c r="AB433" s="326"/>
      <c r="AC433" s="326"/>
      <c r="AD433" s="326"/>
      <c r="AG433" s="326"/>
      <c r="AH433" s="326"/>
      <c r="AI433" s="326"/>
      <c r="AL433" s="326"/>
      <c r="AM433" s="326"/>
      <c r="AN433" s="326"/>
    </row>
    <row r="434" spans="1:40" x14ac:dyDescent="0.15">
      <c r="A434" s="318"/>
      <c r="B434" s="320"/>
      <c r="C434" s="320"/>
      <c r="D434" s="320"/>
      <c r="E434" s="320"/>
      <c r="F434" s="320"/>
      <c r="G434" s="320"/>
      <c r="H434" s="320"/>
      <c r="I434" s="320"/>
      <c r="J434" s="320"/>
      <c r="K434" s="320"/>
      <c r="L434" s="320"/>
      <c r="M434" s="320"/>
      <c r="N434" s="320"/>
      <c r="O434" s="321"/>
      <c r="P434" s="321"/>
      <c r="Y434" s="326"/>
      <c r="Z434" s="326"/>
      <c r="AA434" s="326"/>
      <c r="AB434" s="326"/>
      <c r="AC434" s="326"/>
      <c r="AD434" s="326"/>
      <c r="AG434" s="326"/>
      <c r="AH434" s="326"/>
      <c r="AI434" s="326"/>
      <c r="AL434" s="326"/>
      <c r="AM434" s="326"/>
      <c r="AN434" s="326"/>
    </row>
    <row r="435" spans="1:40" x14ac:dyDescent="0.15">
      <c r="A435" s="318"/>
      <c r="B435" s="320"/>
      <c r="C435" s="320"/>
      <c r="D435" s="320"/>
      <c r="E435" s="320"/>
      <c r="F435" s="320"/>
      <c r="G435" s="320"/>
      <c r="H435" s="320"/>
      <c r="I435" s="320"/>
      <c r="J435" s="320"/>
      <c r="K435" s="320"/>
      <c r="L435" s="320"/>
      <c r="M435" s="320"/>
      <c r="N435" s="320"/>
      <c r="O435" s="321"/>
      <c r="P435" s="321"/>
      <c r="Y435" s="326"/>
      <c r="Z435" s="326"/>
      <c r="AA435" s="326"/>
      <c r="AB435" s="326"/>
      <c r="AC435" s="326"/>
      <c r="AD435" s="326"/>
      <c r="AG435" s="326"/>
      <c r="AH435" s="326"/>
      <c r="AI435" s="326"/>
      <c r="AL435" s="326"/>
      <c r="AM435" s="326"/>
      <c r="AN435" s="326"/>
    </row>
    <row r="436" spans="1:40" x14ac:dyDescent="0.15">
      <c r="A436" s="318"/>
      <c r="B436" s="320"/>
      <c r="C436" s="320"/>
      <c r="D436" s="320"/>
      <c r="E436" s="320"/>
      <c r="F436" s="320"/>
      <c r="G436" s="320"/>
      <c r="H436" s="320"/>
      <c r="I436" s="320"/>
      <c r="J436" s="320"/>
      <c r="K436" s="320"/>
      <c r="L436" s="320"/>
      <c r="M436" s="320"/>
      <c r="N436" s="320"/>
      <c r="O436" s="321"/>
      <c r="P436" s="321"/>
      <c r="Y436" s="326"/>
      <c r="Z436" s="326"/>
      <c r="AA436" s="326"/>
      <c r="AB436" s="326"/>
      <c r="AC436" s="326"/>
      <c r="AD436" s="326"/>
      <c r="AG436" s="326"/>
      <c r="AH436" s="326"/>
      <c r="AI436" s="326"/>
      <c r="AL436" s="326"/>
      <c r="AM436" s="326"/>
      <c r="AN436" s="326"/>
    </row>
    <row r="437" spans="1:40" x14ac:dyDescent="0.15">
      <c r="A437" s="318"/>
      <c r="B437" s="320"/>
      <c r="C437" s="320"/>
      <c r="D437" s="320"/>
      <c r="E437" s="320"/>
      <c r="F437" s="320"/>
      <c r="G437" s="320"/>
      <c r="H437" s="320"/>
      <c r="I437" s="320"/>
      <c r="J437" s="320"/>
      <c r="K437" s="320"/>
      <c r="L437" s="320"/>
      <c r="M437" s="320"/>
      <c r="N437" s="320"/>
      <c r="O437" s="321"/>
      <c r="P437" s="321"/>
      <c r="Y437" s="326"/>
      <c r="Z437" s="326"/>
      <c r="AA437" s="326"/>
      <c r="AB437" s="326"/>
      <c r="AC437" s="326"/>
      <c r="AD437" s="326"/>
      <c r="AG437" s="326"/>
      <c r="AH437" s="326"/>
      <c r="AI437" s="326"/>
      <c r="AL437" s="326"/>
      <c r="AM437" s="326"/>
      <c r="AN437" s="326"/>
    </row>
    <row r="438" spans="1:40" x14ac:dyDescent="0.15">
      <c r="A438" s="318"/>
      <c r="B438" s="320"/>
      <c r="C438" s="320"/>
      <c r="D438" s="320"/>
      <c r="E438" s="320"/>
      <c r="F438" s="320"/>
      <c r="G438" s="320"/>
      <c r="H438" s="320"/>
      <c r="I438" s="320"/>
      <c r="J438" s="320"/>
      <c r="K438" s="320"/>
      <c r="L438" s="320"/>
      <c r="M438" s="320"/>
      <c r="N438" s="320"/>
      <c r="O438" s="321"/>
      <c r="P438" s="321"/>
      <c r="Y438" s="326"/>
      <c r="Z438" s="326"/>
      <c r="AA438" s="326"/>
      <c r="AB438" s="326"/>
      <c r="AC438" s="326"/>
      <c r="AD438" s="326"/>
      <c r="AG438" s="326"/>
      <c r="AH438" s="326"/>
      <c r="AI438" s="326"/>
      <c r="AL438" s="326"/>
      <c r="AM438" s="326"/>
      <c r="AN438" s="326"/>
    </row>
    <row r="439" spans="1:40" x14ac:dyDescent="0.15">
      <c r="A439" s="318"/>
      <c r="B439" s="320"/>
      <c r="C439" s="320"/>
      <c r="D439" s="320"/>
      <c r="E439" s="320"/>
      <c r="F439" s="320"/>
      <c r="G439" s="320"/>
      <c r="H439" s="320"/>
      <c r="I439" s="320"/>
      <c r="J439" s="320"/>
      <c r="K439" s="320"/>
      <c r="L439" s="320"/>
      <c r="M439" s="320"/>
      <c r="N439" s="320"/>
      <c r="O439" s="321"/>
      <c r="P439" s="321"/>
      <c r="Y439" s="326"/>
      <c r="Z439" s="326"/>
      <c r="AB439" s="326"/>
      <c r="AC439" s="326"/>
      <c r="AD439" s="326"/>
      <c r="AG439" s="326"/>
      <c r="AH439" s="326"/>
      <c r="AI439" s="326"/>
      <c r="AL439" s="326"/>
      <c r="AM439" s="326"/>
      <c r="AN439" s="326"/>
    </row>
    <row r="440" spans="1:40" x14ac:dyDescent="0.15">
      <c r="A440" s="318"/>
      <c r="B440" s="320"/>
      <c r="C440" s="320"/>
      <c r="D440" s="320"/>
      <c r="E440" s="320"/>
      <c r="F440" s="320"/>
      <c r="G440" s="320"/>
      <c r="H440" s="320"/>
      <c r="I440" s="320"/>
      <c r="J440" s="320"/>
      <c r="K440" s="320"/>
      <c r="L440" s="320"/>
      <c r="M440" s="320"/>
      <c r="N440" s="320"/>
      <c r="O440" s="321"/>
      <c r="P440" s="321"/>
      <c r="Y440" s="326"/>
      <c r="Z440" s="326"/>
      <c r="AA440" s="326"/>
      <c r="AB440" s="326"/>
      <c r="AC440" s="326"/>
      <c r="AD440" s="326"/>
      <c r="AG440" s="326"/>
      <c r="AH440" s="326"/>
      <c r="AI440" s="326"/>
      <c r="AL440" s="326"/>
      <c r="AM440" s="326"/>
      <c r="AN440" s="326"/>
    </row>
    <row r="441" spans="1:40" x14ac:dyDescent="0.15">
      <c r="A441" s="318"/>
      <c r="B441" s="320"/>
      <c r="C441" s="320"/>
      <c r="D441" s="320"/>
      <c r="E441" s="320"/>
      <c r="F441" s="320"/>
      <c r="G441" s="320"/>
      <c r="H441" s="320"/>
      <c r="I441" s="320"/>
      <c r="J441" s="320"/>
      <c r="K441" s="320"/>
      <c r="L441" s="320"/>
      <c r="M441" s="320"/>
      <c r="N441" s="320"/>
      <c r="O441" s="321"/>
      <c r="P441" s="321"/>
      <c r="Y441" s="326"/>
      <c r="Z441" s="326"/>
      <c r="AA441" s="326"/>
      <c r="AB441" s="326"/>
      <c r="AC441" s="326"/>
      <c r="AD441" s="326"/>
      <c r="AG441" s="326"/>
      <c r="AH441" s="326"/>
      <c r="AI441" s="326"/>
      <c r="AL441" s="326"/>
      <c r="AM441" s="326"/>
      <c r="AN441" s="326"/>
    </row>
    <row r="442" spans="1:40" x14ac:dyDescent="0.15">
      <c r="A442" s="318"/>
      <c r="B442" s="320"/>
      <c r="C442" s="320"/>
      <c r="D442" s="320"/>
      <c r="E442" s="320"/>
      <c r="F442" s="320"/>
      <c r="G442" s="320"/>
      <c r="H442" s="320"/>
      <c r="I442" s="320"/>
      <c r="J442" s="320"/>
      <c r="K442" s="320"/>
      <c r="L442" s="320"/>
      <c r="M442" s="320"/>
      <c r="N442" s="320"/>
      <c r="O442" s="321"/>
      <c r="P442" s="321"/>
      <c r="Y442" s="326"/>
      <c r="Z442" s="326"/>
      <c r="AA442" s="326"/>
      <c r="AB442" s="326"/>
      <c r="AC442" s="326"/>
      <c r="AD442" s="326"/>
      <c r="AG442" s="326"/>
      <c r="AH442" s="326"/>
      <c r="AI442" s="326"/>
      <c r="AL442" s="326"/>
      <c r="AM442" s="326"/>
      <c r="AN442" s="326"/>
    </row>
    <row r="443" spans="1:40" x14ac:dyDescent="0.15">
      <c r="A443" s="318"/>
      <c r="B443" s="320"/>
      <c r="C443" s="320"/>
      <c r="D443" s="320"/>
      <c r="E443" s="320"/>
      <c r="F443" s="320"/>
      <c r="G443" s="320"/>
      <c r="H443" s="320"/>
      <c r="I443" s="320"/>
      <c r="J443" s="320"/>
      <c r="K443" s="320"/>
      <c r="L443" s="320"/>
      <c r="M443" s="320"/>
      <c r="N443" s="320"/>
      <c r="O443" s="321"/>
      <c r="P443" s="321"/>
      <c r="Y443" s="326"/>
      <c r="Z443" s="326"/>
      <c r="AA443" s="326"/>
      <c r="AB443" s="326"/>
      <c r="AC443" s="326"/>
      <c r="AD443" s="326"/>
      <c r="AG443" s="326"/>
      <c r="AH443" s="326"/>
      <c r="AI443" s="326"/>
      <c r="AL443" s="326"/>
      <c r="AM443" s="326"/>
      <c r="AN443" s="326"/>
    </row>
    <row r="444" spans="1:40" x14ac:dyDescent="0.15">
      <c r="A444" s="318"/>
      <c r="B444" s="320"/>
      <c r="C444" s="320"/>
      <c r="D444" s="320"/>
      <c r="E444" s="320"/>
      <c r="F444" s="320"/>
      <c r="G444" s="320"/>
      <c r="H444" s="320"/>
      <c r="I444" s="320"/>
      <c r="J444" s="320"/>
      <c r="K444" s="320"/>
      <c r="L444" s="320"/>
      <c r="M444" s="320"/>
      <c r="N444" s="320"/>
      <c r="O444" s="321"/>
      <c r="P444" s="321"/>
      <c r="Y444" s="326"/>
      <c r="Z444" s="326"/>
      <c r="AA444" s="326"/>
      <c r="AB444" s="326"/>
      <c r="AC444" s="326"/>
      <c r="AD444" s="326"/>
      <c r="AG444" s="326"/>
      <c r="AH444" s="326"/>
      <c r="AI444" s="326"/>
      <c r="AL444" s="326"/>
      <c r="AM444" s="326"/>
      <c r="AN444" s="326"/>
    </row>
    <row r="445" spans="1:40" x14ac:dyDescent="0.15">
      <c r="A445" s="318"/>
      <c r="B445" s="320"/>
      <c r="C445" s="320"/>
      <c r="D445" s="320"/>
      <c r="E445" s="320"/>
      <c r="F445" s="320"/>
      <c r="G445" s="320"/>
      <c r="H445" s="320"/>
      <c r="I445" s="320"/>
      <c r="J445" s="320"/>
      <c r="K445" s="320"/>
      <c r="L445" s="320"/>
      <c r="M445" s="320"/>
      <c r="N445" s="320"/>
      <c r="O445" s="321"/>
      <c r="P445" s="321"/>
      <c r="Y445" s="326"/>
      <c r="Z445" s="326"/>
      <c r="AB445" s="326"/>
      <c r="AC445" s="326"/>
      <c r="AD445" s="326"/>
      <c r="AG445" s="326"/>
      <c r="AH445" s="326"/>
      <c r="AI445" s="326"/>
      <c r="AL445" s="326"/>
      <c r="AM445" s="326"/>
      <c r="AN445" s="326"/>
    </row>
    <row r="446" spans="1:40" x14ac:dyDescent="0.15">
      <c r="A446" s="318"/>
      <c r="B446" s="320"/>
      <c r="C446" s="320"/>
      <c r="D446" s="320"/>
      <c r="E446" s="320"/>
      <c r="F446" s="320"/>
      <c r="G446" s="320"/>
      <c r="H446" s="320"/>
      <c r="I446" s="320"/>
      <c r="J446" s="320"/>
      <c r="K446" s="320"/>
      <c r="L446" s="320"/>
      <c r="M446" s="320"/>
      <c r="N446" s="320"/>
      <c r="O446" s="321"/>
      <c r="P446" s="321"/>
      <c r="Y446" s="326"/>
      <c r="Z446" s="326"/>
      <c r="AA446" s="326"/>
      <c r="AB446" s="326"/>
      <c r="AC446" s="326"/>
      <c r="AD446" s="326"/>
      <c r="AG446" s="326"/>
      <c r="AH446" s="326"/>
      <c r="AI446" s="326"/>
      <c r="AL446" s="326"/>
      <c r="AM446" s="326"/>
      <c r="AN446" s="326"/>
    </row>
    <row r="447" spans="1:40" x14ac:dyDescent="0.15">
      <c r="A447" s="318"/>
      <c r="B447" s="320"/>
      <c r="C447" s="320"/>
      <c r="D447" s="320"/>
      <c r="E447" s="320"/>
      <c r="F447" s="320"/>
      <c r="G447" s="320"/>
      <c r="H447" s="320"/>
      <c r="I447" s="320"/>
      <c r="J447" s="320"/>
      <c r="K447" s="320"/>
      <c r="L447" s="320"/>
      <c r="M447" s="320"/>
      <c r="N447" s="320"/>
      <c r="O447" s="321"/>
      <c r="P447" s="321"/>
      <c r="Y447" s="326"/>
      <c r="Z447" s="326"/>
      <c r="AA447" s="326"/>
      <c r="AB447" s="326"/>
      <c r="AC447" s="326"/>
      <c r="AD447" s="326"/>
      <c r="AG447" s="326"/>
      <c r="AH447" s="326"/>
      <c r="AI447" s="326"/>
      <c r="AL447" s="326"/>
      <c r="AM447" s="326"/>
      <c r="AN447" s="326"/>
    </row>
    <row r="448" spans="1:40" x14ac:dyDescent="0.15">
      <c r="A448" s="318"/>
      <c r="B448" s="320"/>
      <c r="C448" s="320"/>
      <c r="D448" s="320"/>
      <c r="E448" s="320"/>
      <c r="F448" s="320"/>
      <c r="G448" s="320"/>
      <c r="H448" s="320"/>
      <c r="I448" s="320"/>
      <c r="J448" s="320"/>
      <c r="K448" s="320"/>
      <c r="L448" s="320"/>
      <c r="M448" s="320"/>
      <c r="N448" s="320"/>
      <c r="O448" s="321"/>
      <c r="P448" s="321"/>
      <c r="Y448" s="326"/>
      <c r="Z448" s="326"/>
      <c r="AB448" s="326"/>
      <c r="AC448" s="326"/>
      <c r="AD448" s="326"/>
      <c r="AG448" s="326"/>
      <c r="AH448" s="326"/>
      <c r="AI448" s="326"/>
      <c r="AL448" s="326"/>
      <c r="AM448" s="326"/>
      <c r="AN448" s="326"/>
    </row>
    <row r="449" spans="1:40" x14ac:dyDescent="0.15">
      <c r="A449" s="318"/>
      <c r="B449" s="320"/>
      <c r="C449" s="320"/>
      <c r="D449" s="320"/>
      <c r="E449" s="320"/>
      <c r="F449" s="320"/>
      <c r="G449" s="320"/>
      <c r="H449" s="320"/>
      <c r="I449" s="320"/>
      <c r="J449" s="320"/>
      <c r="K449" s="320"/>
      <c r="L449" s="320"/>
      <c r="M449" s="320"/>
      <c r="N449" s="320"/>
      <c r="O449" s="321"/>
      <c r="P449" s="321"/>
      <c r="Y449" s="326"/>
      <c r="Z449" s="326"/>
      <c r="AB449" s="326"/>
      <c r="AC449" s="326"/>
      <c r="AD449" s="326"/>
      <c r="AG449" s="326"/>
      <c r="AH449" s="326"/>
      <c r="AI449" s="326"/>
      <c r="AL449" s="326"/>
      <c r="AM449" s="326"/>
      <c r="AN449" s="326"/>
    </row>
    <row r="450" spans="1:40" x14ac:dyDescent="0.15">
      <c r="A450" s="318"/>
      <c r="B450" s="320"/>
      <c r="C450" s="320"/>
      <c r="D450" s="320"/>
      <c r="E450" s="320"/>
      <c r="F450" s="320"/>
      <c r="G450" s="320"/>
      <c r="H450" s="320"/>
      <c r="I450" s="320"/>
      <c r="J450" s="320"/>
      <c r="K450" s="320"/>
      <c r="L450" s="320"/>
      <c r="M450" s="320"/>
      <c r="N450" s="320"/>
      <c r="O450" s="321"/>
      <c r="P450" s="321"/>
      <c r="Y450" s="326"/>
      <c r="Z450" s="326"/>
      <c r="AB450" s="326"/>
      <c r="AC450" s="326"/>
      <c r="AD450" s="326"/>
      <c r="AG450" s="326"/>
      <c r="AH450" s="326"/>
      <c r="AI450" s="326"/>
      <c r="AL450" s="326"/>
      <c r="AM450" s="326"/>
      <c r="AN450" s="326"/>
    </row>
    <row r="451" spans="1:40" x14ac:dyDescent="0.15">
      <c r="A451" s="318"/>
      <c r="B451" s="320"/>
      <c r="C451" s="320"/>
      <c r="D451" s="320"/>
      <c r="E451" s="320"/>
      <c r="F451" s="320"/>
      <c r="G451" s="320"/>
      <c r="H451" s="320"/>
      <c r="I451" s="320"/>
      <c r="J451" s="320"/>
      <c r="K451" s="320"/>
      <c r="L451" s="320"/>
      <c r="M451" s="320"/>
      <c r="N451" s="320"/>
      <c r="O451" s="321"/>
      <c r="P451" s="321"/>
      <c r="Y451" s="326"/>
      <c r="Z451" s="326"/>
      <c r="AB451" s="326"/>
      <c r="AC451" s="326"/>
      <c r="AD451" s="326"/>
      <c r="AG451" s="326"/>
      <c r="AH451" s="326"/>
      <c r="AI451" s="326"/>
      <c r="AL451" s="326"/>
      <c r="AM451" s="326"/>
      <c r="AN451" s="326"/>
    </row>
    <row r="452" spans="1:40" x14ac:dyDescent="0.15">
      <c r="A452" s="318"/>
      <c r="B452" s="320"/>
      <c r="C452" s="320"/>
      <c r="D452" s="320"/>
      <c r="E452" s="320"/>
      <c r="F452" s="320"/>
      <c r="G452" s="320"/>
      <c r="H452" s="320"/>
      <c r="I452" s="320"/>
      <c r="J452" s="320"/>
      <c r="K452" s="320"/>
      <c r="L452" s="320"/>
      <c r="M452" s="320"/>
      <c r="N452" s="320"/>
      <c r="O452" s="321"/>
      <c r="P452" s="321"/>
      <c r="Y452" s="326"/>
      <c r="Z452" s="326"/>
      <c r="AA452" s="326"/>
      <c r="AB452" s="326"/>
      <c r="AC452" s="326"/>
      <c r="AD452" s="326"/>
      <c r="AG452" s="326"/>
      <c r="AH452" s="326"/>
      <c r="AI452" s="326"/>
      <c r="AL452" s="326"/>
      <c r="AM452" s="326"/>
      <c r="AN452" s="326"/>
    </row>
    <row r="453" spans="1:40" x14ac:dyDescent="0.15">
      <c r="A453" s="318"/>
      <c r="B453" s="320"/>
      <c r="C453" s="320"/>
      <c r="D453" s="320"/>
      <c r="E453" s="320"/>
      <c r="F453" s="320"/>
      <c r="G453" s="320"/>
      <c r="H453" s="320"/>
      <c r="I453" s="320"/>
      <c r="J453" s="320"/>
      <c r="K453" s="320"/>
      <c r="L453" s="320"/>
      <c r="M453" s="320"/>
      <c r="N453" s="320"/>
      <c r="O453" s="321"/>
      <c r="P453" s="321"/>
      <c r="Y453" s="326"/>
      <c r="Z453" s="326"/>
      <c r="AA453" s="326"/>
      <c r="AB453" s="326"/>
      <c r="AC453" s="326"/>
      <c r="AD453" s="326"/>
      <c r="AG453" s="326"/>
      <c r="AH453" s="326"/>
      <c r="AI453" s="326"/>
      <c r="AL453" s="326"/>
      <c r="AM453" s="326"/>
      <c r="AN453" s="326"/>
    </row>
    <row r="454" spans="1:40" x14ac:dyDescent="0.15">
      <c r="A454" s="318"/>
      <c r="B454" s="320"/>
      <c r="C454" s="320"/>
      <c r="D454" s="320"/>
      <c r="E454" s="320"/>
      <c r="F454" s="320"/>
      <c r="G454" s="320"/>
      <c r="H454" s="320"/>
      <c r="I454" s="320"/>
      <c r="J454" s="320"/>
      <c r="K454" s="320"/>
      <c r="L454" s="320"/>
      <c r="M454" s="320"/>
      <c r="N454" s="320"/>
      <c r="O454" s="321"/>
      <c r="P454" s="321"/>
      <c r="Y454" s="326"/>
      <c r="Z454" s="326"/>
      <c r="AA454" s="326"/>
      <c r="AB454" s="326"/>
      <c r="AC454" s="326"/>
      <c r="AD454" s="326"/>
      <c r="AG454" s="326"/>
      <c r="AH454" s="326"/>
      <c r="AI454" s="326"/>
      <c r="AL454" s="326"/>
      <c r="AM454" s="326"/>
      <c r="AN454" s="326"/>
    </row>
    <row r="455" spans="1:40" x14ac:dyDescent="0.15">
      <c r="A455" s="318"/>
      <c r="B455" s="320"/>
      <c r="C455" s="320"/>
      <c r="D455" s="320"/>
      <c r="E455" s="320"/>
      <c r="F455" s="320"/>
      <c r="G455" s="320"/>
      <c r="H455" s="320"/>
      <c r="I455" s="320"/>
      <c r="J455" s="320"/>
      <c r="K455" s="320"/>
      <c r="L455" s="320"/>
      <c r="M455" s="320"/>
      <c r="N455" s="320"/>
      <c r="O455" s="321"/>
      <c r="P455" s="321"/>
      <c r="Y455" s="326"/>
      <c r="Z455" s="326"/>
      <c r="AA455" s="326"/>
      <c r="AB455" s="326"/>
      <c r="AC455" s="326"/>
      <c r="AD455" s="326"/>
      <c r="AG455" s="326"/>
      <c r="AH455" s="326"/>
      <c r="AI455" s="326"/>
      <c r="AL455" s="326"/>
      <c r="AM455" s="326"/>
      <c r="AN455" s="326"/>
    </row>
    <row r="456" spans="1:40" x14ac:dyDescent="0.15">
      <c r="A456" s="318"/>
      <c r="B456" s="320"/>
      <c r="C456" s="320"/>
      <c r="D456" s="320"/>
      <c r="E456" s="320"/>
      <c r="F456" s="320"/>
      <c r="G456" s="320"/>
      <c r="H456" s="320"/>
      <c r="I456" s="320"/>
      <c r="J456" s="320"/>
      <c r="K456" s="320"/>
      <c r="L456" s="320"/>
      <c r="M456" s="320"/>
      <c r="N456" s="320"/>
      <c r="O456" s="321"/>
      <c r="P456" s="321"/>
      <c r="Y456" s="326"/>
      <c r="Z456" s="326"/>
      <c r="AA456" s="326"/>
      <c r="AB456" s="326"/>
      <c r="AC456" s="326"/>
      <c r="AD456" s="326"/>
      <c r="AG456" s="326"/>
      <c r="AH456" s="326"/>
      <c r="AI456" s="326"/>
      <c r="AL456" s="326"/>
      <c r="AM456" s="326"/>
      <c r="AN456" s="326"/>
    </row>
    <row r="457" spans="1:40" x14ac:dyDescent="0.15">
      <c r="A457" s="318"/>
      <c r="B457" s="320"/>
      <c r="C457" s="320"/>
      <c r="D457" s="320"/>
      <c r="E457" s="320"/>
      <c r="F457" s="320"/>
      <c r="G457" s="320"/>
      <c r="H457" s="320"/>
      <c r="I457" s="320"/>
      <c r="J457" s="320"/>
      <c r="K457" s="320"/>
      <c r="L457" s="320"/>
      <c r="M457" s="320"/>
      <c r="N457" s="320"/>
      <c r="O457" s="321"/>
      <c r="P457" s="321"/>
      <c r="Y457" s="326"/>
      <c r="Z457" s="326"/>
      <c r="AA457" s="326"/>
      <c r="AB457" s="326"/>
      <c r="AC457" s="326"/>
      <c r="AD457" s="326"/>
      <c r="AG457" s="326"/>
      <c r="AH457" s="326"/>
      <c r="AI457" s="326"/>
      <c r="AL457" s="326"/>
      <c r="AM457" s="326"/>
      <c r="AN457" s="326"/>
    </row>
    <row r="458" spans="1:40" x14ac:dyDescent="0.15">
      <c r="A458" s="318"/>
      <c r="B458" s="320"/>
      <c r="C458" s="320"/>
      <c r="D458" s="320"/>
      <c r="E458" s="320"/>
      <c r="F458" s="320"/>
      <c r="G458" s="320"/>
      <c r="H458" s="320"/>
      <c r="I458" s="320"/>
      <c r="J458" s="320"/>
      <c r="K458" s="320"/>
      <c r="L458" s="320"/>
      <c r="M458" s="320"/>
      <c r="N458" s="320"/>
      <c r="O458" s="321"/>
      <c r="P458" s="321"/>
      <c r="Y458" s="326"/>
      <c r="Z458" s="326"/>
      <c r="AA458" s="326"/>
      <c r="AB458" s="326"/>
      <c r="AC458" s="326"/>
      <c r="AD458" s="326"/>
      <c r="AG458" s="326"/>
      <c r="AH458" s="326"/>
      <c r="AI458" s="326"/>
      <c r="AL458" s="326"/>
      <c r="AM458" s="326"/>
      <c r="AN458" s="326"/>
    </row>
    <row r="459" spans="1:40" x14ac:dyDescent="0.15">
      <c r="A459" s="318"/>
      <c r="B459" s="320"/>
      <c r="C459" s="320"/>
      <c r="D459" s="320"/>
      <c r="E459" s="320"/>
      <c r="F459" s="320"/>
      <c r="G459" s="320"/>
      <c r="H459" s="320"/>
      <c r="I459" s="320"/>
      <c r="J459" s="320"/>
      <c r="K459" s="320"/>
      <c r="L459" s="320"/>
      <c r="M459" s="320"/>
      <c r="N459" s="320"/>
      <c r="O459" s="321"/>
      <c r="P459" s="321"/>
      <c r="Y459" s="326"/>
      <c r="Z459" s="326"/>
      <c r="AA459" s="326"/>
      <c r="AB459" s="326"/>
      <c r="AC459" s="326"/>
      <c r="AD459" s="326"/>
      <c r="AG459" s="326"/>
      <c r="AH459" s="326"/>
      <c r="AI459" s="326"/>
      <c r="AL459" s="326"/>
      <c r="AM459" s="326"/>
      <c r="AN459" s="326"/>
    </row>
    <row r="460" spans="1:40" x14ac:dyDescent="0.15">
      <c r="A460" s="318"/>
      <c r="B460" s="320"/>
      <c r="C460" s="320"/>
      <c r="D460" s="320"/>
      <c r="E460" s="320"/>
      <c r="F460" s="320"/>
      <c r="G460" s="320"/>
      <c r="H460" s="320"/>
      <c r="I460" s="320"/>
      <c r="J460" s="320"/>
      <c r="K460" s="320"/>
      <c r="L460" s="320"/>
      <c r="M460" s="320"/>
      <c r="N460" s="320"/>
      <c r="O460" s="321"/>
      <c r="P460" s="321"/>
      <c r="Y460" s="326"/>
      <c r="Z460" s="326"/>
      <c r="AA460" s="326"/>
      <c r="AB460" s="326"/>
      <c r="AC460" s="326"/>
      <c r="AD460" s="326"/>
      <c r="AG460" s="326"/>
      <c r="AH460" s="326"/>
      <c r="AI460" s="326"/>
      <c r="AL460" s="326"/>
      <c r="AM460" s="326"/>
      <c r="AN460" s="326"/>
    </row>
    <row r="461" spans="1:40" x14ac:dyDescent="0.15">
      <c r="A461" s="318"/>
      <c r="B461" s="320"/>
      <c r="C461" s="320"/>
      <c r="D461" s="320"/>
      <c r="E461" s="320"/>
      <c r="F461" s="320"/>
      <c r="G461" s="320"/>
      <c r="H461" s="320"/>
      <c r="I461" s="320"/>
      <c r="J461" s="320"/>
      <c r="K461" s="320"/>
      <c r="L461" s="320"/>
      <c r="M461" s="320"/>
      <c r="N461" s="320"/>
      <c r="O461" s="321"/>
      <c r="P461" s="321"/>
      <c r="Y461" s="326"/>
      <c r="Z461" s="326"/>
      <c r="AA461" s="326"/>
      <c r="AB461" s="326"/>
      <c r="AC461" s="326"/>
      <c r="AD461" s="326"/>
      <c r="AG461" s="326"/>
      <c r="AH461" s="326"/>
      <c r="AI461" s="326"/>
      <c r="AL461" s="326"/>
      <c r="AM461" s="326"/>
      <c r="AN461" s="326"/>
    </row>
    <row r="462" spans="1:40" x14ac:dyDescent="0.15">
      <c r="A462" s="318"/>
      <c r="B462" s="320"/>
      <c r="C462" s="320"/>
      <c r="D462" s="320"/>
      <c r="E462" s="320"/>
      <c r="F462" s="320"/>
      <c r="G462" s="320"/>
      <c r="H462" s="320"/>
      <c r="I462" s="320"/>
      <c r="J462" s="320"/>
      <c r="K462" s="320"/>
      <c r="L462" s="320"/>
      <c r="M462" s="320"/>
      <c r="N462" s="320"/>
      <c r="O462" s="321"/>
      <c r="P462" s="321"/>
      <c r="Y462" s="326"/>
      <c r="Z462" s="326"/>
      <c r="AA462" s="326"/>
      <c r="AB462" s="326"/>
      <c r="AC462" s="326"/>
      <c r="AD462" s="326"/>
      <c r="AG462" s="326"/>
      <c r="AH462" s="326"/>
      <c r="AI462" s="326"/>
      <c r="AL462" s="326"/>
      <c r="AM462" s="326"/>
      <c r="AN462" s="326"/>
    </row>
    <row r="463" spans="1:40" x14ac:dyDescent="0.15">
      <c r="A463" s="318"/>
      <c r="B463" s="320"/>
      <c r="C463" s="320"/>
      <c r="D463" s="320"/>
      <c r="E463" s="320"/>
      <c r="F463" s="320"/>
      <c r="G463" s="320"/>
      <c r="H463" s="320"/>
      <c r="I463" s="320"/>
      <c r="J463" s="320"/>
      <c r="K463" s="320"/>
      <c r="L463" s="320"/>
      <c r="M463" s="320"/>
      <c r="N463" s="320"/>
      <c r="O463" s="321"/>
      <c r="P463" s="321"/>
      <c r="Y463" s="326"/>
      <c r="Z463" s="326"/>
      <c r="AA463" s="326"/>
      <c r="AB463" s="326"/>
      <c r="AC463" s="326"/>
      <c r="AD463" s="326"/>
      <c r="AG463" s="326"/>
      <c r="AH463" s="326"/>
      <c r="AI463" s="326"/>
      <c r="AL463" s="326"/>
      <c r="AM463" s="326"/>
      <c r="AN463" s="326"/>
    </row>
    <row r="464" spans="1:40" x14ac:dyDescent="0.15">
      <c r="A464" s="318"/>
      <c r="B464" s="320"/>
      <c r="C464" s="320"/>
      <c r="D464" s="320"/>
      <c r="E464" s="320"/>
      <c r="F464" s="320"/>
      <c r="G464" s="320"/>
      <c r="H464" s="320"/>
      <c r="I464" s="320"/>
      <c r="J464" s="320"/>
      <c r="K464" s="320"/>
      <c r="L464" s="320"/>
      <c r="M464" s="320"/>
      <c r="N464" s="320"/>
      <c r="O464" s="321"/>
      <c r="P464" s="321"/>
      <c r="Y464" s="326"/>
      <c r="Z464" s="326"/>
      <c r="AA464" s="326"/>
      <c r="AB464" s="326"/>
      <c r="AC464" s="326"/>
      <c r="AD464" s="326"/>
      <c r="AG464" s="326"/>
      <c r="AH464" s="326"/>
      <c r="AI464" s="326"/>
      <c r="AL464" s="326"/>
      <c r="AM464" s="326"/>
      <c r="AN464" s="326"/>
    </row>
    <row r="465" spans="1:40" x14ac:dyDescent="0.15">
      <c r="A465" s="318"/>
      <c r="B465" s="320"/>
      <c r="C465" s="320"/>
      <c r="D465" s="320"/>
      <c r="E465" s="320"/>
      <c r="F465" s="320"/>
      <c r="G465" s="320"/>
      <c r="H465" s="320"/>
      <c r="I465" s="320"/>
      <c r="J465" s="320"/>
      <c r="K465" s="320"/>
      <c r="L465" s="320"/>
      <c r="M465" s="320"/>
      <c r="N465" s="320"/>
      <c r="O465" s="321"/>
      <c r="P465" s="321"/>
      <c r="Y465" s="326"/>
      <c r="Z465" s="326"/>
      <c r="AA465" s="326"/>
      <c r="AB465" s="326"/>
      <c r="AC465" s="326"/>
      <c r="AD465" s="326"/>
      <c r="AG465" s="326"/>
      <c r="AH465" s="326"/>
      <c r="AI465" s="326"/>
      <c r="AL465" s="326"/>
      <c r="AM465" s="326"/>
      <c r="AN465" s="326"/>
    </row>
    <row r="466" spans="1:40" x14ac:dyDescent="0.15">
      <c r="A466" s="318"/>
      <c r="B466" s="320"/>
      <c r="C466" s="320"/>
      <c r="D466" s="320"/>
      <c r="E466" s="320"/>
      <c r="F466" s="320"/>
      <c r="G466" s="320"/>
      <c r="H466" s="320"/>
      <c r="I466" s="320"/>
      <c r="J466" s="320"/>
      <c r="K466" s="320"/>
      <c r="L466" s="320"/>
      <c r="M466" s="320"/>
      <c r="N466" s="320"/>
      <c r="O466" s="321"/>
      <c r="P466" s="321"/>
      <c r="Y466" s="326"/>
      <c r="Z466" s="326"/>
      <c r="AA466" s="326"/>
      <c r="AB466" s="326"/>
      <c r="AC466" s="326"/>
      <c r="AD466" s="326"/>
      <c r="AG466" s="326"/>
      <c r="AH466" s="326"/>
      <c r="AI466" s="326"/>
      <c r="AL466" s="326"/>
      <c r="AM466" s="326"/>
      <c r="AN466" s="326"/>
    </row>
    <row r="467" spans="1:40" x14ac:dyDescent="0.15">
      <c r="A467" s="318"/>
      <c r="B467" s="320"/>
      <c r="C467" s="320"/>
      <c r="D467" s="320"/>
      <c r="E467" s="320"/>
      <c r="F467" s="320"/>
      <c r="G467" s="320"/>
      <c r="H467" s="320"/>
      <c r="I467" s="320"/>
      <c r="J467" s="320"/>
      <c r="K467" s="320"/>
      <c r="L467" s="320"/>
      <c r="M467" s="320"/>
      <c r="N467" s="320"/>
      <c r="O467" s="321"/>
      <c r="P467" s="321"/>
      <c r="Y467" s="326"/>
      <c r="Z467" s="326"/>
      <c r="AA467" s="326"/>
      <c r="AB467" s="326"/>
      <c r="AC467" s="326"/>
      <c r="AD467" s="326"/>
      <c r="AG467" s="326"/>
      <c r="AH467" s="326"/>
      <c r="AI467" s="326"/>
      <c r="AL467" s="326"/>
      <c r="AM467" s="326"/>
      <c r="AN467" s="326"/>
    </row>
    <row r="468" spans="1:40" x14ac:dyDescent="0.15">
      <c r="A468" s="318"/>
      <c r="B468" s="320"/>
      <c r="C468" s="320"/>
      <c r="D468" s="320"/>
      <c r="E468" s="320"/>
      <c r="F468" s="320"/>
      <c r="G468" s="320"/>
      <c r="H468" s="320"/>
      <c r="I468" s="320"/>
      <c r="J468" s="320"/>
      <c r="K468" s="320"/>
      <c r="L468" s="320"/>
      <c r="M468" s="320"/>
      <c r="N468" s="320"/>
      <c r="O468" s="321"/>
      <c r="P468" s="321"/>
      <c r="Y468" s="326"/>
      <c r="Z468" s="326"/>
      <c r="AA468" s="326"/>
      <c r="AB468" s="326"/>
      <c r="AC468" s="326"/>
      <c r="AD468" s="326"/>
      <c r="AG468" s="326"/>
      <c r="AH468" s="326"/>
      <c r="AI468" s="326"/>
      <c r="AL468" s="326"/>
      <c r="AM468" s="326"/>
      <c r="AN468" s="326"/>
    </row>
    <row r="469" spans="1:40" x14ac:dyDescent="0.15">
      <c r="A469" s="318"/>
      <c r="B469" s="320"/>
      <c r="C469" s="320"/>
      <c r="D469" s="320"/>
      <c r="E469" s="320"/>
      <c r="F469" s="320"/>
      <c r="G469" s="320"/>
      <c r="H469" s="320"/>
      <c r="I469" s="320"/>
      <c r="J469" s="320"/>
      <c r="K469" s="320"/>
      <c r="L469" s="320"/>
      <c r="M469" s="320"/>
      <c r="N469" s="320"/>
      <c r="O469" s="321"/>
      <c r="P469" s="321"/>
      <c r="Y469" s="326"/>
      <c r="Z469" s="326"/>
      <c r="AA469" s="326"/>
      <c r="AB469" s="326"/>
      <c r="AC469" s="326"/>
      <c r="AD469" s="326"/>
      <c r="AG469" s="326"/>
      <c r="AH469" s="326"/>
      <c r="AI469" s="326"/>
      <c r="AL469" s="326"/>
      <c r="AM469" s="326"/>
      <c r="AN469" s="326"/>
    </row>
    <row r="470" spans="1:40" x14ac:dyDescent="0.15">
      <c r="A470" s="318"/>
      <c r="B470" s="320"/>
      <c r="C470" s="320"/>
      <c r="D470" s="320"/>
      <c r="E470" s="320"/>
      <c r="F470" s="320"/>
      <c r="G470" s="320"/>
      <c r="H470" s="320"/>
      <c r="I470" s="320"/>
      <c r="J470" s="320"/>
      <c r="K470" s="320"/>
      <c r="L470" s="320"/>
      <c r="M470" s="320"/>
      <c r="N470" s="320"/>
      <c r="O470" s="321"/>
      <c r="P470" s="321"/>
      <c r="Y470" s="326"/>
      <c r="Z470" s="326"/>
      <c r="AA470" s="326"/>
      <c r="AB470" s="326"/>
      <c r="AC470" s="326"/>
      <c r="AD470" s="326"/>
      <c r="AG470" s="326"/>
      <c r="AH470" s="326"/>
      <c r="AI470" s="326"/>
      <c r="AL470" s="326"/>
      <c r="AM470" s="326"/>
      <c r="AN470" s="326"/>
    </row>
    <row r="471" spans="1:40" x14ac:dyDescent="0.15">
      <c r="A471" s="318"/>
      <c r="B471" s="320"/>
      <c r="C471" s="320"/>
      <c r="D471" s="320"/>
      <c r="E471" s="320"/>
      <c r="F471" s="320"/>
      <c r="G471" s="320"/>
      <c r="H471" s="320"/>
      <c r="I471" s="320"/>
      <c r="J471" s="320"/>
      <c r="K471" s="320"/>
      <c r="L471" s="320"/>
      <c r="M471" s="320"/>
      <c r="N471" s="320"/>
      <c r="O471" s="321"/>
      <c r="P471" s="321"/>
      <c r="Y471" s="326"/>
      <c r="Z471" s="326"/>
      <c r="AA471" s="326"/>
      <c r="AB471" s="326"/>
      <c r="AC471" s="326"/>
      <c r="AD471" s="326"/>
      <c r="AG471" s="326"/>
      <c r="AH471" s="326"/>
      <c r="AI471" s="326"/>
      <c r="AL471" s="326"/>
      <c r="AM471" s="326"/>
      <c r="AN471" s="326"/>
    </row>
    <row r="472" spans="1:40" x14ac:dyDescent="0.15">
      <c r="A472" s="318"/>
      <c r="B472" s="320"/>
      <c r="C472" s="320"/>
      <c r="D472" s="320"/>
      <c r="E472" s="320"/>
      <c r="F472" s="320"/>
      <c r="G472" s="320"/>
      <c r="H472" s="320"/>
      <c r="I472" s="320"/>
      <c r="J472" s="320"/>
      <c r="K472" s="320"/>
      <c r="L472" s="320"/>
      <c r="M472" s="320"/>
      <c r="N472" s="320"/>
      <c r="O472" s="321"/>
      <c r="P472" s="321"/>
      <c r="Y472" s="326"/>
      <c r="Z472" s="326"/>
      <c r="AA472" s="326"/>
      <c r="AB472" s="326"/>
      <c r="AC472" s="326"/>
      <c r="AD472" s="326"/>
      <c r="AG472" s="326"/>
      <c r="AH472" s="326"/>
      <c r="AI472" s="326"/>
      <c r="AL472" s="326"/>
      <c r="AM472" s="326"/>
      <c r="AN472" s="326"/>
    </row>
    <row r="473" spans="1:40" x14ac:dyDescent="0.15">
      <c r="A473" s="318"/>
      <c r="B473" s="320"/>
      <c r="C473" s="320"/>
      <c r="D473" s="320"/>
      <c r="E473" s="320"/>
      <c r="F473" s="320"/>
      <c r="G473" s="320"/>
      <c r="H473" s="320"/>
      <c r="I473" s="320"/>
      <c r="J473" s="320"/>
      <c r="K473" s="320"/>
      <c r="L473" s="320"/>
      <c r="M473" s="320"/>
      <c r="N473" s="320"/>
      <c r="O473" s="321"/>
      <c r="P473" s="321"/>
      <c r="Y473" s="326"/>
      <c r="Z473" s="326"/>
      <c r="AA473" s="326"/>
      <c r="AB473" s="326"/>
      <c r="AC473" s="326"/>
      <c r="AD473" s="326"/>
      <c r="AG473" s="326"/>
      <c r="AH473" s="326"/>
      <c r="AI473" s="326"/>
      <c r="AL473" s="326"/>
      <c r="AM473" s="326"/>
      <c r="AN473" s="326"/>
    </row>
    <row r="474" spans="1:40" x14ac:dyDescent="0.15">
      <c r="A474" s="318"/>
      <c r="B474" s="320"/>
      <c r="C474" s="320"/>
      <c r="D474" s="320"/>
      <c r="E474" s="320"/>
      <c r="F474" s="320"/>
      <c r="G474" s="320"/>
      <c r="H474" s="320"/>
      <c r="I474" s="320"/>
      <c r="J474" s="320"/>
      <c r="K474" s="320"/>
      <c r="L474" s="320"/>
      <c r="M474" s="320"/>
      <c r="N474" s="320"/>
      <c r="O474" s="321"/>
      <c r="P474" s="321"/>
      <c r="Y474" s="326"/>
      <c r="Z474" s="326"/>
      <c r="AA474" s="326"/>
      <c r="AB474" s="326"/>
      <c r="AC474" s="326"/>
      <c r="AD474" s="326"/>
      <c r="AG474" s="326"/>
      <c r="AH474" s="326"/>
      <c r="AI474" s="326"/>
      <c r="AL474" s="326"/>
      <c r="AM474" s="326"/>
      <c r="AN474" s="326"/>
    </row>
    <row r="475" spans="1:40" x14ac:dyDescent="0.15">
      <c r="A475" s="318"/>
      <c r="B475" s="320"/>
      <c r="C475" s="320"/>
      <c r="D475" s="320"/>
      <c r="E475" s="320"/>
      <c r="F475" s="320"/>
      <c r="G475" s="320"/>
      <c r="H475" s="320"/>
      <c r="I475" s="320"/>
      <c r="J475" s="320"/>
      <c r="K475" s="320"/>
      <c r="L475" s="320"/>
      <c r="M475" s="320"/>
      <c r="N475" s="320"/>
      <c r="O475" s="321"/>
      <c r="P475" s="321"/>
      <c r="Y475" s="326"/>
      <c r="Z475" s="326"/>
      <c r="AA475" s="326"/>
      <c r="AB475" s="326"/>
      <c r="AC475" s="326"/>
      <c r="AD475" s="326"/>
      <c r="AG475" s="326"/>
      <c r="AH475" s="326"/>
      <c r="AI475" s="326"/>
      <c r="AL475" s="326"/>
      <c r="AM475" s="326"/>
      <c r="AN475" s="326"/>
    </row>
    <row r="476" spans="1:40" x14ac:dyDescent="0.15">
      <c r="A476" s="318"/>
      <c r="B476" s="320"/>
      <c r="C476" s="320"/>
      <c r="D476" s="320"/>
      <c r="E476" s="320"/>
      <c r="F476" s="320"/>
      <c r="G476" s="320"/>
      <c r="H476" s="320"/>
      <c r="I476" s="320"/>
      <c r="J476" s="320"/>
      <c r="K476" s="320"/>
      <c r="L476" s="320"/>
      <c r="M476" s="320"/>
      <c r="N476" s="320"/>
      <c r="O476" s="321"/>
      <c r="P476" s="321"/>
      <c r="Y476" s="326"/>
      <c r="Z476" s="326"/>
      <c r="AA476" s="326"/>
      <c r="AB476" s="326"/>
      <c r="AC476" s="326"/>
      <c r="AD476" s="326"/>
      <c r="AG476" s="326"/>
      <c r="AH476" s="326"/>
      <c r="AI476" s="326"/>
      <c r="AL476" s="326"/>
      <c r="AM476" s="326"/>
      <c r="AN476" s="326"/>
    </row>
    <row r="477" spans="1:40" x14ac:dyDescent="0.15">
      <c r="A477" s="318"/>
      <c r="B477" s="320"/>
      <c r="C477" s="320"/>
      <c r="D477" s="320"/>
      <c r="E477" s="320"/>
      <c r="F477" s="320"/>
      <c r="G477" s="320"/>
      <c r="H477" s="320"/>
      <c r="I477" s="320"/>
      <c r="J477" s="320"/>
      <c r="K477" s="320"/>
      <c r="L477" s="320"/>
      <c r="M477" s="320"/>
      <c r="N477" s="320"/>
      <c r="O477" s="321"/>
      <c r="P477" s="321"/>
      <c r="Y477" s="326"/>
      <c r="Z477" s="326"/>
      <c r="AA477" s="326"/>
      <c r="AB477" s="326"/>
      <c r="AC477" s="326"/>
      <c r="AD477" s="326"/>
      <c r="AG477" s="326"/>
      <c r="AH477" s="326"/>
      <c r="AI477" s="326"/>
      <c r="AL477" s="326"/>
      <c r="AM477" s="326"/>
      <c r="AN477" s="326"/>
    </row>
    <row r="478" spans="1:40" x14ac:dyDescent="0.15">
      <c r="A478" s="318"/>
      <c r="B478" s="320"/>
      <c r="C478" s="320"/>
      <c r="D478" s="320"/>
      <c r="E478" s="320"/>
      <c r="F478" s="320"/>
      <c r="G478" s="320"/>
      <c r="H478" s="320"/>
      <c r="I478" s="320"/>
      <c r="J478" s="320"/>
      <c r="K478" s="320"/>
      <c r="L478" s="320"/>
      <c r="M478" s="320"/>
      <c r="N478" s="320"/>
      <c r="O478" s="321"/>
      <c r="P478" s="321"/>
      <c r="Y478" s="326"/>
      <c r="Z478" s="326"/>
      <c r="AA478" s="326"/>
      <c r="AB478" s="326"/>
      <c r="AC478" s="326"/>
      <c r="AD478" s="326"/>
      <c r="AG478" s="326"/>
      <c r="AH478" s="326"/>
      <c r="AI478" s="326"/>
      <c r="AL478" s="326"/>
      <c r="AM478" s="326"/>
      <c r="AN478" s="326"/>
    </row>
    <row r="479" spans="1:40" x14ac:dyDescent="0.15">
      <c r="A479" s="318"/>
      <c r="B479" s="320"/>
      <c r="C479" s="320"/>
      <c r="D479" s="320"/>
      <c r="E479" s="320"/>
      <c r="F479" s="320"/>
      <c r="G479" s="320"/>
      <c r="H479" s="320"/>
      <c r="I479" s="320"/>
      <c r="J479" s="320"/>
      <c r="K479" s="320"/>
      <c r="L479" s="320"/>
      <c r="M479" s="320"/>
      <c r="N479" s="320"/>
      <c r="O479" s="321"/>
      <c r="P479" s="321"/>
      <c r="Y479" s="326"/>
      <c r="Z479" s="326"/>
      <c r="AA479" s="326"/>
      <c r="AB479" s="326"/>
      <c r="AC479" s="326"/>
      <c r="AD479" s="326"/>
      <c r="AG479" s="326"/>
      <c r="AH479" s="326"/>
      <c r="AI479" s="326"/>
      <c r="AL479" s="326"/>
      <c r="AM479" s="326"/>
      <c r="AN479" s="326"/>
    </row>
    <row r="480" spans="1:40" x14ac:dyDescent="0.15">
      <c r="A480" s="318"/>
      <c r="B480" s="320"/>
      <c r="C480" s="320"/>
      <c r="D480" s="320"/>
      <c r="E480" s="320"/>
      <c r="F480" s="320"/>
      <c r="G480" s="320"/>
      <c r="H480" s="320"/>
      <c r="I480" s="320"/>
      <c r="J480" s="320"/>
      <c r="K480" s="320"/>
      <c r="L480" s="320"/>
      <c r="M480" s="320"/>
      <c r="N480" s="320"/>
      <c r="O480" s="321"/>
      <c r="P480" s="321"/>
      <c r="Y480" s="326"/>
      <c r="Z480" s="326"/>
      <c r="AA480" s="326"/>
      <c r="AB480" s="326"/>
      <c r="AC480" s="326"/>
      <c r="AD480" s="326"/>
      <c r="AG480" s="326"/>
      <c r="AH480" s="326"/>
      <c r="AI480" s="326"/>
      <c r="AL480" s="326"/>
      <c r="AM480" s="326"/>
      <c r="AN480" s="326"/>
    </row>
    <row r="481" spans="1:40" x14ac:dyDescent="0.15">
      <c r="A481" s="318"/>
      <c r="B481" s="320"/>
      <c r="C481" s="320"/>
      <c r="D481" s="320"/>
      <c r="E481" s="320"/>
      <c r="F481" s="320"/>
      <c r="G481" s="320"/>
      <c r="H481" s="320"/>
      <c r="I481" s="320"/>
      <c r="J481" s="320"/>
      <c r="K481" s="320"/>
      <c r="L481" s="320"/>
      <c r="M481" s="320"/>
      <c r="N481" s="320"/>
      <c r="O481" s="321"/>
      <c r="P481" s="321"/>
      <c r="Y481" s="326"/>
      <c r="Z481" s="326"/>
      <c r="AA481" s="326"/>
      <c r="AB481" s="326"/>
      <c r="AC481" s="326"/>
      <c r="AD481" s="326"/>
      <c r="AG481" s="326"/>
      <c r="AH481" s="326"/>
      <c r="AI481" s="326"/>
      <c r="AL481" s="326"/>
      <c r="AM481" s="326"/>
      <c r="AN481" s="326"/>
    </row>
    <row r="482" spans="1:40" x14ac:dyDescent="0.15">
      <c r="A482" s="318"/>
      <c r="B482" s="320"/>
      <c r="C482" s="320"/>
      <c r="D482" s="320"/>
      <c r="E482" s="320"/>
      <c r="F482" s="320"/>
      <c r="G482" s="320"/>
      <c r="H482" s="320"/>
      <c r="I482" s="320"/>
      <c r="J482" s="320"/>
      <c r="K482" s="320"/>
      <c r="L482" s="320"/>
      <c r="M482" s="320"/>
      <c r="N482" s="320"/>
      <c r="O482" s="321"/>
      <c r="P482" s="321"/>
      <c r="Y482" s="326"/>
      <c r="Z482" s="326"/>
      <c r="AA482" s="326"/>
      <c r="AB482" s="326"/>
      <c r="AC482" s="326"/>
      <c r="AD482" s="326"/>
      <c r="AG482" s="326"/>
      <c r="AH482" s="326"/>
      <c r="AI482" s="326"/>
      <c r="AL482" s="326"/>
      <c r="AM482" s="326"/>
      <c r="AN482" s="326"/>
    </row>
    <row r="483" spans="1:40" x14ac:dyDescent="0.15">
      <c r="A483" s="318"/>
      <c r="B483" s="320"/>
      <c r="C483" s="320"/>
      <c r="D483" s="320"/>
      <c r="E483" s="320"/>
      <c r="F483" s="320"/>
      <c r="G483" s="320"/>
      <c r="H483" s="320"/>
      <c r="I483" s="320"/>
      <c r="J483" s="320"/>
      <c r="K483" s="320"/>
      <c r="L483" s="320"/>
      <c r="M483" s="320"/>
      <c r="N483" s="320"/>
      <c r="O483" s="321"/>
      <c r="P483" s="321"/>
      <c r="Y483" s="326"/>
      <c r="Z483" s="326"/>
      <c r="AA483" s="326"/>
      <c r="AB483" s="326"/>
      <c r="AC483" s="326"/>
      <c r="AD483" s="326"/>
      <c r="AG483" s="326"/>
      <c r="AH483" s="326"/>
      <c r="AI483" s="326"/>
      <c r="AL483" s="326"/>
      <c r="AM483" s="326"/>
      <c r="AN483" s="326"/>
    </row>
    <row r="484" spans="1:40" x14ac:dyDescent="0.15">
      <c r="A484" s="318"/>
      <c r="B484" s="320"/>
      <c r="C484" s="320"/>
      <c r="D484" s="320"/>
      <c r="E484" s="320"/>
      <c r="F484" s="320"/>
      <c r="G484" s="320"/>
      <c r="H484" s="320"/>
      <c r="I484" s="320"/>
      <c r="J484" s="320"/>
      <c r="K484" s="320"/>
      <c r="L484" s="320"/>
      <c r="M484" s="320"/>
      <c r="N484" s="320"/>
      <c r="O484" s="321"/>
      <c r="P484" s="321"/>
      <c r="Y484" s="326"/>
      <c r="Z484" s="326"/>
      <c r="AA484" s="326"/>
      <c r="AB484" s="326"/>
      <c r="AC484" s="326"/>
      <c r="AD484" s="326"/>
      <c r="AG484" s="326"/>
      <c r="AH484" s="326"/>
      <c r="AI484" s="326"/>
      <c r="AL484" s="326"/>
      <c r="AM484" s="326"/>
      <c r="AN484" s="326"/>
    </row>
    <row r="485" spans="1:40" x14ac:dyDescent="0.15">
      <c r="A485" s="318"/>
      <c r="B485" s="320"/>
      <c r="C485" s="320"/>
      <c r="D485" s="320"/>
      <c r="E485" s="320"/>
      <c r="F485" s="320"/>
      <c r="G485" s="320"/>
      <c r="H485" s="320"/>
      <c r="I485" s="320"/>
      <c r="J485" s="320"/>
      <c r="K485" s="320"/>
      <c r="L485" s="320"/>
      <c r="M485" s="320"/>
      <c r="N485" s="320"/>
      <c r="O485" s="321"/>
      <c r="P485" s="321"/>
      <c r="Y485" s="326"/>
      <c r="Z485" s="326"/>
      <c r="AA485" s="326"/>
      <c r="AB485" s="326"/>
      <c r="AC485" s="326"/>
      <c r="AD485" s="326"/>
      <c r="AG485" s="326"/>
      <c r="AH485" s="326"/>
      <c r="AI485" s="326"/>
      <c r="AL485" s="326"/>
      <c r="AM485" s="326"/>
      <c r="AN485" s="326"/>
    </row>
    <row r="486" spans="1:40" x14ac:dyDescent="0.15">
      <c r="A486" s="318"/>
      <c r="B486" s="320"/>
      <c r="C486" s="320"/>
      <c r="D486" s="320"/>
      <c r="E486" s="320"/>
      <c r="F486" s="320"/>
      <c r="G486" s="320"/>
      <c r="H486" s="320"/>
      <c r="I486" s="320"/>
      <c r="J486" s="320"/>
      <c r="K486" s="320"/>
      <c r="L486" s="320"/>
      <c r="M486" s="320"/>
      <c r="N486" s="320"/>
      <c r="O486" s="321"/>
      <c r="P486" s="321"/>
      <c r="Y486" s="326"/>
      <c r="Z486" s="326"/>
      <c r="AA486" s="326"/>
      <c r="AB486" s="326"/>
      <c r="AC486" s="326"/>
      <c r="AD486" s="326"/>
      <c r="AG486" s="326"/>
      <c r="AH486" s="326"/>
      <c r="AI486" s="326"/>
      <c r="AL486" s="326"/>
      <c r="AM486" s="326"/>
      <c r="AN486" s="326"/>
    </row>
    <row r="487" spans="1:40" x14ac:dyDescent="0.15">
      <c r="A487" s="318"/>
      <c r="B487" s="320"/>
      <c r="C487" s="320"/>
      <c r="D487" s="320"/>
      <c r="E487" s="320"/>
      <c r="F487" s="320"/>
      <c r="G487" s="320"/>
      <c r="H487" s="320"/>
      <c r="I487" s="320"/>
      <c r="J487" s="320"/>
      <c r="K487" s="320"/>
      <c r="L487" s="320"/>
      <c r="M487" s="320"/>
      <c r="N487" s="320"/>
      <c r="O487" s="321"/>
      <c r="P487" s="321"/>
      <c r="Y487" s="326"/>
      <c r="Z487" s="326"/>
      <c r="AA487" s="326"/>
      <c r="AB487" s="326"/>
      <c r="AC487" s="326"/>
      <c r="AD487" s="326"/>
      <c r="AG487" s="326"/>
      <c r="AH487" s="326"/>
      <c r="AI487" s="326"/>
      <c r="AL487" s="326"/>
      <c r="AM487" s="326"/>
      <c r="AN487" s="326"/>
    </row>
    <row r="488" spans="1:40" x14ac:dyDescent="0.15">
      <c r="A488" s="318"/>
      <c r="B488" s="320"/>
      <c r="C488" s="320"/>
      <c r="D488" s="320"/>
      <c r="E488" s="320"/>
      <c r="F488" s="320"/>
      <c r="G488" s="320"/>
      <c r="H488" s="320"/>
      <c r="I488" s="320"/>
      <c r="J488" s="320"/>
      <c r="K488" s="320"/>
      <c r="L488" s="320"/>
      <c r="M488" s="320"/>
      <c r="N488" s="320"/>
      <c r="O488" s="321"/>
      <c r="P488" s="321"/>
      <c r="Y488" s="326"/>
      <c r="Z488" s="326"/>
      <c r="AA488" s="326"/>
      <c r="AB488" s="326"/>
      <c r="AC488" s="326"/>
      <c r="AD488" s="326"/>
      <c r="AG488" s="326"/>
      <c r="AH488" s="326"/>
      <c r="AI488" s="326"/>
      <c r="AL488" s="326"/>
      <c r="AM488" s="326"/>
      <c r="AN488" s="326"/>
    </row>
    <row r="489" spans="1:40" x14ac:dyDescent="0.15">
      <c r="A489" s="318"/>
      <c r="B489" s="320"/>
      <c r="C489" s="320"/>
      <c r="D489" s="320"/>
      <c r="E489" s="320"/>
      <c r="F489" s="320"/>
      <c r="G489" s="320"/>
      <c r="H489" s="320"/>
      <c r="I489" s="320"/>
      <c r="J489" s="320"/>
      <c r="K489" s="320"/>
      <c r="L489" s="320"/>
      <c r="M489" s="320"/>
      <c r="N489" s="320"/>
      <c r="O489" s="321"/>
      <c r="P489" s="321"/>
      <c r="Y489" s="326"/>
      <c r="Z489" s="326"/>
      <c r="AA489" s="326"/>
      <c r="AB489" s="326"/>
      <c r="AC489" s="326"/>
      <c r="AD489" s="326"/>
      <c r="AG489" s="326"/>
      <c r="AH489" s="326"/>
      <c r="AI489" s="326"/>
      <c r="AL489" s="326"/>
      <c r="AM489" s="326"/>
      <c r="AN489" s="326"/>
    </row>
    <row r="490" spans="1:40" x14ac:dyDescent="0.15">
      <c r="A490" s="318"/>
      <c r="B490" s="320"/>
      <c r="C490" s="320"/>
      <c r="D490" s="320"/>
      <c r="E490" s="320"/>
      <c r="F490" s="320"/>
      <c r="G490" s="320"/>
      <c r="H490" s="320"/>
      <c r="I490" s="320"/>
      <c r="J490" s="320"/>
      <c r="K490" s="320"/>
      <c r="L490" s="320"/>
      <c r="M490" s="320"/>
      <c r="N490" s="320"/>
      <c r="O490" s="321"/>
      <c r="P490" s="321"/>
      <c r="Y490" s="326"/>
      <c r="Z490" s="326"/>
      <c r="AA490" s="326"/>
      <c r="AB490" s="326"/>
      <c r="AC490" s="326"/>
      <c r="AD490" s="326"/>
      <c r="AG490" s="326"/>
      <c r="AH490" s="326"/>
      <c r="AI490" s="326"/>
      <c r="AL490" s="326"/>
      <c r="AM490" s="326"/>
      <c r="AN490" s="326"/>
    </row>
    <row r="491" spans="1:40" x14ac:dyDescent="0.15">
      <c r="A491" s="318"/>
      <c r="B491" s="320"/>
      <c r="C491" s="320"/>
      <c r="D491" s="320"/>
      <c r="E491" s="320"/>
      <c r="F491" s="320"/>
      <c r="G491" s="320"/>
      <c r="H491" s="320"/>
      <c r="I491" s="320"/>
      <c r="J491" s="320"/>
      <c r="K491" s="320"/>
      <c r="L491" s="320"/>
      <c r="M491" s="320"/>
      <c r="N491" s="320"/>
      <c r="O491" s="321"/>
      <c r="P491" s="321"/>
      <c r="Y491" s="326"/>
      <c r="Z491" s="326"/>
      <c r="AA491" s="326"/>
      <c r="AB491" s="326"/>
      <c r="AC491" s="326"/>
      <c r="AD491" s="326"/>
      <c r="AG491" s="326"/>
      <c r="AH491" s="326"/>
      <c r="AI491" s="326"/>
      <c r="AL491" s="326"/>
      <c r="AM491" s="326"/>
      <c r="AN491" s="326"/>
    </row>
    <row r="492" spans="1:40" x14ac:dyDescent="0.15">
      <c r="A492" s="318"/>
      <c r="B492" s="320"/>
      <c r="C492" s="320"/>
      <c r="D492" s="320"/>
      <c r="E492" s="320"/>
      <c r="F492" s="320"/>
      <c r="G492" s="320"/>
      <c r="H492" s="320"/>
      <c r="I492" s="320"/>
      <c r="J492" s="320"/>
      <c r="K492" s="320"/>
      <c r="L492" s="320"/>
      <c r="M492" s="320"/>
      <c r="N492" s="320"/>
      <c r="O492" s="321"/>
      <c r="P492" s="321"/>
      <c r="Y492" s="326"/>
      <c r="Z492" s="326"/>
      <c r="AA492" s="326"/>
      <c r="AB492" s="326"/>
      <c r="AC492" s="326"/>
      <c r="AD492" s="326"/>
      <c r="AG492" s="326"/>
      <c r="AH492" s="326"/>
      <c r="AI492" s="326"/>
      <c r="AL492" s="326"/>
      <c r="AM492" s="326"/>
      <c r="AN492" s="326"/>
    </row>
    <row r="493" spans="1:40" x14ac:dyDescent="0.15">
      <c r="A493" s="318"/>
      <c r="B493" s="320"/>
      <c r="C493" s="320"/>
      <c r="D493" s="320"/>
      <c r="E493" s="320"/>
      <c r="F493" s="320"/>
      <c r="G493" s="320"/>
      <c r="H493" s="320"/>
      <c r="I493" s="320"/>
      <c r="J493" s="320"/>
      <c r="K493" s="320"/>
      <c r="L493" s="320"/>
      <c r="M493" s="320"/>
      <c r="N493" s="320"/>
      <c r="O493" s="321"/>
      <c r="P493" s="321"/>
      <c r="Y493" s="326"/>
      <c r="Z493" s="326"/>
      <c r="AA493" s="326"/>
      <c r="AB493" s="326"/>
      <c r="AC493" s="326"/>
      <c r="AD493" s="326"/>
      <c r="AG493" s="326"/>
      <c r="AH493" s="326"/>
      <c r="AI493" s="326"/>
      <c r="AL493" s="326"/>
      <c r="AM493" s="326"/>
      <c r="AN493" s="326"/>
    </row>
    <row r="494" spans="1:40" x14ac:dyDescent="0.15">
      <c r="A494" s="318"/>
      <c r="B494" s="320"/>
      <c r="C494" s="320"/>
      <c r="D494" s="320"/>
      <c r="E494" s="320"/>
      <c r="F494" s="320"/>
      <c r="G494" s="320"/>
      <c r="H494" s="320"/>
      <c r="I494" s="320"/>
      <c r="J494" s="320"/>
      <c r="K494" s="320"/>
      <c r="L494" s="320"/>
      <c r="M494" s="320"/>
      <c r="N494" s="320"/>
      <c r="O494" s="321"/>
      <c r="P494" s="321"/>
      <c r="Y494" s="326"/>
      <c r="Z494" s="326"/>
      <c r="AA494" s="326"/>
      <c r="AB494" s="326"/>
      <c r="AC494" s="326"/>
      <c r="AD494" s="326"/>
      <c r="AG494" s="326"/>
      <c r="AH494" s="326"/>
      <c r="AI494" s="326"/>
      <c r="AL494" s="326"/>
      <c r="AM494" s="326"/>
      <c r="AN494" s="326"/>
    </row>
    <row r="495" spans="1:40" x14ac:dyDescent="0.15">
      <c r="A495" s="318"/>
      <c r="B495" s="320"/>
      <c r="C495" s="320"/>
      <c r="D495" s="320"/>
      <c r="E495" s="320"/>
      <c r="F495" s="320"/>
      <c r="G495" s="320"/>
      <c r="H495" s="320"/>
      <c r="I495" s="320"/>
      <c r="J495" s="320"/>
      <c r="K495" s="320"/>
      <c r="L495" s="320"/>
      <c r="M495" s="320"/>
      <c r="N495" s="320"/>
      <c r="O495" s="321"/>
      <c r="P495" s="321"/>
      <c r="Y495" s="326"/>
      <c r="Z495" s="326"/>
      <c r="AA495" s="326"/>
      <c r="AB495" s="326"/>
      <c r="AC495" s="326"/>
      <c r="AD495" s="326"/>
      <c r="AG495" s="326"/>
      <c r="AH495" s="326"/>
      <c r="AI495" s="326"/>
      <c r="AL495" s="326"/>
      <c r="AM495" s="326"/>
      <c r="AN495" s="326"/>
    </row>
    <row r="496" spans="1:40" x14ac:dyDescent="0.15">
      <c r="A496" s="318"/>
      <c r="B496" s="320"/>
      <c r="C496" s="320"/>
      <c r="D496" s="320"/>
      <c r="E496" s="320"/>
      <c r="F496" s="320"/>
      <c r="G496" s="320"/>
      <c r="H496" s="320"/>
      <c r="I496" s="320"/>
      <c r="J496" s="320"/>
      <c r="K496" s="320"/>
      <c r="L496" s="320"/>
      <c r="M496" s="320"/>
      <c r="N496" s="320"/>
      <c r="O496" s="321"/>
      <c r="P496" s="321"/>
      <c r="Y496" s="326"/>
      <c r="Z496" s="326"/>
      <c r="AA496" s="326"/>
      <c r="AB496" s="326"/>
      <c r="AC496" s="326"/>
      <c r="AD496" s="326"/>
      <c r="AG496" s="326"/>
      <c r="AH496" s="326"/>
      <c r="AI496" s="326"/>
      <c r="AL496" s="326"/>
      <c r="AM496" s="326"/>
      <c r="AN496" s="326"/>
    </row>
    <row r="497" spans="1:40" x14ac:dyDescent="0.15">
      <c r="A497" s="318"/>
      <c r="B497" s="320"/>
      <c r="C497" s="320"/>
      <c r="D497" s="320"/>
      <c r="E497" s="320"/>
      <c r="F497" s="320"/>
      <c r="G497" s="320"/>
      <c r="H497" s="320"/>
      <c r="I497" s="320"/>
      <c r="J497" s="320"/>
      <c r="K497" s="320"/>
      <c r="L497" s="320"/>
      <c r="M497" s="320"/>
      <c r="N497" s="320"/>
      <c r="O497" s="321"/>
      <c r="P497" s="321"/>
      <c r="Y497" s="326"/>
      <c r="Z497" s="326"/>
      <c r="AA497" s="326"/>
      <c r="AB497" s="326"/>
      <c r="AC497" s="326"/>
      <c r="AD497" s="326"/>
      <c r="AG497" s="326"/>
      <c r="AH497" s="326"/>
      <c r="AI497" s="326"/>
      <c r="AL497" s="326"/>
      <c r="AM497" s="326"/>
      <c r="AN497" s="326"/>
    </row>
    <row r="498" spans="1:40" x14ac:dyDescent="0.15">
      <c r="A498" s="318"/>
      <c r="B498" s="320"/>
      <c r="C498" s="320"/>
      <c r="D498" s="320"/>
      <c r="E498" s="320"/>
      <c r="F498" s="320"/>
      <c r="G498" s="320"/>
      <c r="H498" s="320"/>
      <c r="I498" s="320"/>
      <c r="J498" s="320"/>
      <c r="K498" s="320"/>
      <c r="L498" s="320"/>
      <c r="M498" s="320"/>
      <c r="N498" s="320"/>
      <c r="O498" s="321"/>
      <c r="P498" s="321"/>
      <c r="Y498" s="326"/>
      <c r="Z498" s="326"/>
      <c r="AA498" s="326"/>
      <c r="AB498" s="326"/>
      <c r="AC498" s="326"/>
      <c r="AD498" s="326"/>
      <c r="AG498" s="326"/>
      <c r="AH498" s="326"/>
      <c r="AI498" s="326"/>
      <c r="AL498" s="326"/>
      <c r="AM498" s="326"/>
      <c r="AN498" s="326"/>
    </row>
    <row r="499" spans="1:40" x14ac:dyDescent="0.15">
      <c r="A499" s="318"/>
      <c r="B499" s="320"/>
      <c r="C499" s="320"/>
      <c r="D499" s="320"/>
      <c r="E499" s="320"/>
      <c r="F499" s="320"/>
      <c r="G499" s="320"/>
      <c r="H499" s="320"/>
      <c r="I499" s="320"/>
      <c r="J499" s="320"/>
      <c r="K499" s="320"/>
      <c r="L499" s="320"/>
      <c r="M499" s="320"/>
      <c r="N499" s="320"/>
      <c r="O499" s="321"/>
      <c r="P499" s="321"/>
      <c r="Y499" s="326"/>
      <c r="Z499" s="326"/>
      <c r="AA499" s="326"/>
      <c r="AB499" s="326"/>
      <c r="AC499" s="326"/>
      <c r="AD499" s="326"/>
      <c r="AG499" s="326"/>
      <c r="AH499" s="326"/>
      <c r="AI499" s="326"/>
      <c r="AL499" s="326"/>
      <c r="AM499" s="326"/>
      <c r="AN499" s="326"/>
    </row>
    <row r="500" spans="1:40" x14ac:dyDescent="0.15">
      <c r="A500" s="318"/>
      <c r="B500" s="320"/>
      <c r="C500" s="320"/>
      <c r="D500" s="320"/>
      <c r="E500" s="320"/>
      <c r="F500" s="320"/>
      <c r="G500" s="320"/>
      <c r="H500" s="320"/>
      <c r="I500" s="320"/>
      <c r="J500" s="320"/>
      <c r="K500" s="320"/>
      <c r="L500" s="320"/>
      <c r="M500" s="320"/>
      <c r="N500" s="320"/>
      <c r="O500" s="321"/>
      <c r="P500" s="321"/>
      <c r="Y500" s="326"/>
      <c r="Z500" s="326"/>
      <c r="AA500" s="326"/>
      <c r="AB500" s="326"/>
      <c r="AC500" s="326"/>
      <c r="AD500" s="326"/>
      <c r="AG500" s="326"/>
      <c r="AH500" s="326"/>
      <c r="AI500" s="326"/>
      <c r="AL500" s="326"/>
      <c r="AM500" s="326"/>
      <c r="AN500" s="326"/>
    </row>
    <row r="501" spans="1:40" x14ac:dyDescent="0.15">
      <c r="A501" s="318"/>
      <c r="B501" s="320"/>
      <c r="C501" s="320"/>
      <c r="D501" s="320"/>
      <c r="E501" s="320"/>
      <c r="F501" s="320"/>
      <c r="G501" s="320"/>
      <c r="H501" s="320"/>
      <c r="I501" s="320"/>
      <c r="J501" s="320"/>
      <c r="K501" s="320"/>
      <c r="L501" s="320"/>
      <c r="M501" s="320"/>
      <c r="N501" s="320"/>
      <c r="O501" s="321"/>
      <c r="P501" s="321"/>
      <c r="Y501" s="326"/>
      <c r="Z501" s="326"/>
      <c r="AA501" s="326"/>
      <c r="AB501" s="326"/>
      <c r="AC501" s="326"/>
      <c r="AD501" s="326"/>
      <c r="AG501" s="326"/>
      <c r="AH501" s="326"/>
      <c r="AI501" s="326"/>
      <c r="AL501" s="326"/>
      <c r="AM501" s="326"/>
      <c r="AN501" s="326"/>
    </row>
    <row r="502" spans="1:40" x14ac:dyDescent="0.15">
      <c r="A502" s="318"/>
      <c r="B502" s="320"/>
      <c r="C502" s="320"/>
      <c r="D502" s="320"/>
      <c r="E502" s="320"/>
      <c r="F502" s="320"/>
      <c r="G502" s="320"/>
      <c r="H502" s="320"/>
      <c r="I502" s="320"/>
      <c r="J502" s="320"/>
      <c r="K502" s="320"/>
      <c r="L502" s="320"/>
      <c r="M502" s="320"/>
      <c r="N502" s="320"/>
      <c r="O502" s="321"/>
      <c r="P502" s="321"/>
      <c r="Y502" s="326"/>
      <c r="Z502" s="326"/>
      <c r="AA502" s="326"/>
      <c r="AB502" s="326"/>
      <c r="AC502" s="326"/>
      <c r="AD502" s="326"/>
      <c r="AG502" s="326"/>
      <c r="AH502" s="326"/>
      <c r="AI502" s="326"/>
      <c r="AL502" s="326"/>
      <c r="AM502" s="326"/>
      <c r="AN502" s="326"/>
    </row>
    <row r="503" spans="1:40" x14ac:dyDescent="0.15">
      <c r="A503" s="318"/>
      <c r="B503" s="320"/>
      <c r="C503" s="320"/>
      <c r="D503" s="320"/>
      <c r="E503" s="320"/>
      <c r="F503" s="320"/>
      <c r="G503" s="320"/>
      <c r="H503" s="320"/>
      <c r="I503" s="320"/>
      <c r="J503" s="320"/>
      <c r="K503" s="320"/>
      <c r="L503" s="320"/>
      <c r="M503" s="320"/>
      <c r="N503" s="320"/>
      <c r="O503" s="321"/>
      <c r="P503" s="321"/>
      <c r="Y503" s="326"/>
      <c r="Z503" s="326"/>
      <c r="AA503" s="326"/>
      <c r="AB503" s="326"/>
      <c r="AC503" s="326"/>
      <c r="AD503" s="326"/>
      <c r="AG503" s="326"/>
      <c r="AH503" s="326"/>
      <c r="AI503" s="326"/>
      <c r="AL503" s="326"/>
      <c r="AM503" s="326"/>
      <c r="AN503" s="326"/>
    </row>
    <row r="504" spans="1:40" x14ac:dyDescent="0.15">
      <c r="A504" s="318"/>
      <c r="B504" s="320"/>
      <c r="C504" s="320"/>
      <c r="D504" s="320"/>
      <c r="E504" s="320"/>
      <c r="F504" s="320"/>
      <c r="G504" s="320"/>
      <c r="H504" s="320"/>
      <c r="I504" s="320"/>
      <c r="J504" s="320"/>
      <c r="K504" s="320"/>
      <c r="L504" s="320"/>
      <c r="M504" s="320"/>
      <c r="N504" s="320"/>
      <c r="O504" s="321"/>
      <c r="P504" s="321"/>
      <c r="Y504" s="326"/>
      <c r="Z504" s="326"/>
      <c r="AA504" s="326"/>
      <c r="AB504" s="326"/>
      <c r="AC504" s="326"/>
      <c r="AD504" s="326"/>
      <c r="AG504" s="326"/>
      <c r="AH504" s="326"/>
      <c r="AI504" s="326"/>
      <c r="AL504" s="326"/>
      <c r="AM504" s="326"/>
      <c r="AN504" s="326"/>
    </row>
    <row r="505" spans="1:40" x14ac:dyDescent="0.15">
      <c r="A505" s="318"/>
      <c r="B505" s="320"/>
      <c r="C505" s="320"/>
      <c r="D505" s="320"/>
      <c r="E505" s="320"/>
      <c r="F505" s="320"/>
      <c r="G505" s="320"/>
      <c r="H505" s="320"/>
      <c r="I505" s="320"/>
      <c r="J505" s="320"/>
      <c r="K505" s="320"/>
      <c r="L505" s="320"/>
      <c r="M505" s="320"/>
      <c r="N505" s="320"/>
      <c r="O505" s="321"/>
      <c r="P505" s="321"/>
      <c r="Y505" s="326"/>
      <c r="Z505" s="326"/>
      <c r="AA505" s="326"/>
      <c r="AB505" s="326"/>
      <c r="AC505" s="326"/>
      <c r="AD505" s="326"/>
      <c r="AG505" s="326"/>
      <c r="AH505" s="326"/>
      <c r="AI505" s="326"/>
      <c r="AL505" s="326"/>
      <c r="AM505" s="326"/>
      <c r="AN505" s="326"/>
    </row>
    <row r="506" spans="1:40" x14ac:dyDescent="0.15">
      <c r="A506" s="318"/>
      <c r="B506" s="320"/>
      <c r="C506" s="320"/>
      <c r="D506" s="320"/>
      <c r="E506" s="320"/>
      <c r="F506" s="320"/>
      <c r="G506" s="320"/>
      <c r="H506" s="320"/>
      <c r="I506" s="320"/>
      <c r="J506" s="320"/>
      <c r="K506" s="320"/>
      <c r="L506" s="320"/>
      <c r="M506" s="320"/>
      <c r="N506" s="320"/>
      <c r="O506" s="321"/>
      <c r="P506" s="321"/>
      <c r="Y506" s="326"/>
      <c r="Z506" s="326"/>
      <c r="AA506" s="326"/>
      <c r="AB506" s="326"/>
      <c r="AC506" s="326"/>
      <c r="AD506" s="326"/>
      <c r="AG506" s="326"/>
      <c r="AH506" s="326"/>
      <c r="AI506" s="326"/>
      <c r="AL506" s="326"/>
      <c r="AM506" s="326"/>
      <c r="AN506" s="326"/>
    </row>
    <row r="507" spans="1:40" x14ac:dyDescent="0.15">
      <c r="A507" s="318"/>
      <c r="B507" s="320"/>
      <c r="C507" s="320"/>
      <c r="D507" s="320"/>
      <c r="E507" s="320"/>
      <c r="F507" s="320"/>
      <c r="G507" s="320"/>
      <c r="H507" s="320"/>
      <c r="I507" s="320"/>
      <c r="J507" s="320"/>
      <c r="K507" s="320"/>
      <c r="L507" s="320"/>
      <c r="M507" s="320"/>
      <c r="N507" s="320"/>
      <c r="O507" s="321"/>
      <c r="P507" s="321"/>
      <c r="Y507" s="326"/>
      <c r="Z507" s="326"/>
      <c r="AA507" s="326"/>
      <c r="AB507" s="326"/>
      <c r="AC507" s="326"/>
      <c r="AD507" s="326"/>
      <c r="AG507" s="326"/>
      <c r="AH507" s="326"/>
      <c r="AI507" s="326"/>
      <c r="AL507" s="326"/>
      <c r="AM507" s="326"/>
      <c r="AN507" s="326"/>
    </row>
    <row r="508" spans="1:40" x14ac:dyDescent="0.15">
      <c r="A508" s="318"/>
      <c r="B508" s="320"/>
      <c r="C508" s="320"/>
      <c r="D508" s="320"/>
      <c r="E508" s="320"/>
      <c r="F508" s="320"/>
      <c r="G508" s="320"/>
      <c r="H508" s="320"/>
      <c r="I508" s="320"/>
      <c r="J508" s="320"/>
      <c r="K508" s="320"/>
      <c r="L508" s="320"/>
      <c r="M508" s="320"/>
      <c r="N508" s="320"/>
      <c r="O508" s="321"/>
      <c r="P508" s="321"/>
      <c r="Y508" s="326"/>
      <c r="Z508" s="326"/>
      <c r="AA508" s="326"/>
      <c r="AB508" s="326"/>
      <c r="AC508" s="326"/>
      <c r="AD508" s="326"/>
      <c r="AG508" s="326"/>
      <c r="AH508" s="326"/>
      <c r="AI508" s="326"/>
      <c r="AL508" s="326"/>
      <c r="AM508" s="326"/>
      <c r="AN508" s="326"/>
    </row>
    <row r="509" spans="1:40" x14ac:dyDescent="0.15">
      <c r="A509" s="318"/>
      <c r="B509" s="320"/>
      <c r="C509" s="320"/>
      <c r="D509" s="320"/>
      <c r="E509" s="320"/>
      <c r="F509" s="320"/>
      <c r="G509" s="320"/>
      <c r="H509" s="320"/>
      <c r="I509" s="320"/>
      <c r="J509" s="320"/>
      <c r="K509" s="320"/>
      <c r="L509" s="320"/>
      <c r="M509" s="320"/>
      <c r="N509" s="320"/>
      <c r="O509" s="321"/>
      <c r="P509" s="321"/>
      <c r="Y509" s="326"/>
      <c r="Z509" s="326"/>
      <c r="AA509" s="326"/>
      <c r="AB509" s="326"/>
      <c r="AC509" s="326"/>
      <c r="AD509" s="326"/>
      <c r="AG509" s="326"/>
      <c r="AH509" s="326"/>
      <c r="AI509" s="326"/>
      <c r="AL509" s="326"/>
      <c r="AM509" s="326"/>
      <c r="AN509" s="326"/>
    </row>
    <row r="510" spans="1:40" x14ac:dyDescent="0.15">
      <c r="A510" s="318"/>
      <c r="B510" s="320"/>
      <c r="C510" s="320"/>
      <c r="D510" s="320"/>
      <c r="E510" s="320"/>
      <c r="F510" s="320"/>
      <c r="G510" s="320"/>
      <c r="H510" s="320"/>
      <c r="I510" s="320"/>
      <c r="J510" s="320"/>
      <c r="K510" s="320"/>
      <c r="L510" s="320"/>
      <c r="M510" s="320"/>
      <c r="N510" s="320"/>
      <c r="O510" s="321"/>
      <c r="P510" s="321"/>
      <c r="Y510" s="326"/>
      <c r="Z510" s="326"/>
      <c r="AA510" s="326"/>
      <c r="AB510" s="326"/>
      <c r="AC510" s="326"/>
      <c r="AD510" s="326"/>
      <c r="AG510" s="326"/>
      <c r="AH510" s="326"/>
      <c r="AI510" s="326"/>
      <c r="AL510" s="326"/>
      <c r="AM510" s="326"/>
      <c r="AN510" s="326"/>
    </row>
    <row r="511" spans="1:40" x14ac:dyDescent="0.15">
      <c r="A511" s="318"/>
      <c r="B511" s="320"/>
      <c r="C511" s="320"/>
      <c r="D511" s="320"/>
      <c r="E511" s="320"/>
      <c r="F511" s="320"/>
      <c r="G511" s="320"/>
      <c r="H511" s="320"/>
      <c r="I511" s="320"/>
      <c r="J511" s="320"/>
      <c r="K511" s="320"/>
      <c r="L511" s="320"/>
      <c r="M511" s="320"/>
      <c r="N511" s="320"/>
      <c r="O511" s="321"/>
      <c r="P511" s="321"/>
      <c r="Y511" s="326"/>
      <c r="Z511" s="326"/>
      <c r="AA511" s="326"/>
      <c r="AB511" s="326"/>
      <c r="AC511" s="326"/>
      <c r="AD511" s="326"/>
      <c r="AG511" s="326"/>
      <c r="AH511" s="326"/>
      <c r="AI511" s="326"/>
      <c r="AL511" s="326"/>
      <c r="AM511" s="326"/>
      <c r="AN511" s="326"/>
    </row>
    <row r="512" spans="1:40" x14ac:dyDescent="0.15">
      <c r="A512" s="318"/>
      <c r="B512" s="320"/>
      <c r="C512" s="320"/>
      <c r="D512" s="320"/>
      <c r="E512" s="320"/>
      <c r="F512" s="320"/>
      <c r="G512" s="320"/>
      <c r="H512" s="320"/>
      <c r="I512" s="320"/>
      <c r="J512" s="320"/>
      <c r="K512" s="320"/>
      <c r="L512" s="320"/>
      <c r="M512" s="320"/>
      <c r="N512" s="320"/>
      <c r="O512" s="321"/>
      <c r="P512" s="321"/>
      <c r="Y512" s="326"/>
      <c r="Z512" s="326"/>
      <c r="AA512" s="326"/>
      <c r="AB512" s="326"/>
      <c r="AC512" s="326"/>
      <c r="AD512" s="326"/>
      <c r="AG512" s="326"/>
      <c r="AH512" s="326"/>
      <c r="AI512" s="326"/>
      <c r="AL512" s="326"/>
      <c r="AM512" s="326"/>
      <c r="AN512" s="326"/>
    </row>
    <row r="513" spans="1:40" x14ac:dyDescent="0.15">
      <c r="A513" s="318"/>
      <c r="B513" s="320"/>
      <c r="C513" s="320"/>
      <c r="D513" s="320"/>
      <c r="E513" s="320"/>
      <c r="F513" s="320"/>
      <c r="G513" s="320"/>
      <c r="H513" s="320"/>
      <c r="I513" s="320"/>
      <c r="J513" s="320"/>
      <c r="K513" s="320"/>
      <c r="L513" s="320"/>
      <c r="M513" s="320"/>
      <c r="N513" s="320"/>
      <c r="O513" s="321"/>
      <c r="P513" s="321"/>
      <c r="Y513" s="326"/>
      <c r="Z513" s="326"/>
      <c r="AA513" s="326"/>
      <c r="AB513" s="326"/>
      <c r="AC513" s="326"/>
      <c r="AD513" s="326"/>
      <c r="AG513" s="326"/>
      <c r="AH513" s="326"/>
      <c r="AI513" s="326"/>
      <c r="AL513" s="326"/>
      <c r="AM513" s="326"/>
      <c r="AN513" s="326"/>
    </row>
    <row r="514" spans="1:40" x14ac:dyDescent="0.15">
      <c r="A514" s="318"/>
      <c r="B514" s="320"/>
      <c r="C514" s="320"/>
      <c r="D514" s="320"/>
      <c r="E514" s="320"/>
      <c r="F514" s="320"/>
      <c r="G514" s="320"/>
      <c r="H514" s="320"/>
      <c r="I514" s="320"/>
      <c r="J514" s="320"/>
      <c r="K514" s="320"/>
      <c r="L514" s="320"/>
      <c r="M514" s="320"/>
      <c r="N514" s="320"/>
      <c r="O514" s="321"/>
      <c r="P514" s="321"/>
      <c r="Y514" s="326"/>
      <c r="Z514" s="326"/>
      <c r="AA514" s="326"/>
      <c r="AB514" s="326"/>
      <c r="AC514" s="326"/>
      <c r="AD514" s="326"/>
      <c r="AG514" s="326"/>
      <c r="AH514" s="326"/>
      <c r="AI514" s="326"/>
      <c r="AL514" s="326"/>
      <c r="AM514" s="326"/>
      <c r="AN514" s="326"/>
    </row>
    <row r="515" spans="1:40" x14ac:dyDescent="0.15">
      <c r="A515" s="318"/>
      <c r="B515" s="320"/>
      <c r="C515" s="320"/>
      <c r="D515" s="320"/>
      <c r="E515" s="320"/>
      <c r="F515" s="320"/>
      <c r="G515" s="320"/>
      <c r="H515" s="320"/>
      <c r="I515" s="320"/>
      <c r="J515" s="320"/>
      <c r="K515" s="320"/>
      <c r="L515" s="320"/>
      <c r="M515" s="320"/>
      <c r="N515" s="320"/>
      <c r="O515" s="321"/>
      <c r="P515" s="321"/>
      <c r="Y515" s="326"/>
      <c r="Z515" s="326"/>
      <c r="AA515" s="326"/>
      <c r="AB515" s="326"/>
      <c r="AC515" s="326"/>
      <c r="AD515" s="326"/>
      <c r="AG515" s="326"/>
      <c r="AH515" s="326"/>
      <c r="AI515" s="326"/>
      <c r="AL515" s="326"/>
      <c r="AM515" s="326"/>
      <c r="AN515" s="326"/>
    </row>
    <row r="516" spans="1:40" x14ac:dyDescent="0.15">
      <c r="A516" s="318"/>
      <c r="B516" s="320"/>
      <c r="C516" s="320"/>
      <c r="D516" s="320"/>
      <c r="E516" s="320"/>
      <c r="F516" s="320"/>
      <c r="G516" s="320"/>
      <c r="H516" s="320"/>
      <c r="I516" s="320"/>
      <c r="J516" s="320"/>
      <c r="K516" s="320"/>
      <c r="L516" s="320"/>
      <c r="M516" s="320"/>
      <c r="N516" s="320"/>
      <c r="O516" s="321"/>
      <c r="P516" s="321"/>
      <c r="Y516" s="326"/>
      <c r="Z516" s="326"/>
      <c r="AA516" s="326"/>
      <c r="AB516" s="326"/>
      <c r="AC516" s="326"/>
      <c r="AD516" s="326"/>
      <c r="AG516" s="326"/>
      <c r="AH516" s="326"/>
      <c r="AI516" s="326"/>
      <c r="AL516" s="326"/>
      <c r="AM516" s="326"/>
      <c r="AN516" s="326"/>
    </row>
    <row r="517" spans="1:40" x14ac:dyDescent="0.15">
      <c r="A517" s="318"/>
      <c r="B517" s="320"/>
      <c r="C517" s="320"/>
      <c r="D517" s="320"/>
      <c r="E517" s="320"/>
      <c r="F517" s="320"/>
      <c r="G517" s="320"/>
      <c r="H517" s="320"/>
      <c r="I517" s="320"/>
      <c r="J517" s="320"/>
      <c r="K517" s="320"/>
      <c r="L517" s="320"/>
      <c r="M517" s="320"/>
      <c r="N517" s="320"/>
      <c r="O517" s="321"/>
      <c r="P517" s="321"/>
      <c r="Y517" s="326"/>
      <c r="Z517" s="326"/>
      <c r="AA517" s="326"/>
      <c r="AB517" s="326"/>
      <c r="AC517" s="326"/>
      <c r="AD517" s="326"/>
      <c r="AG517" s="326"/>
      <c r="AH517" s="326"/>
      <c r="AI517" s="326"/>
      <c r="AL517" s="326"/>
      <c r="AM517" s="326"/>
      <c r="AN517" s="326"/>
    </row>
    <row r="518" spans="1:40" x14ac:dyDescent="0.15">
      <c r="A518" s="318"/>
      <c r="B518" s="320"/>
      <c r="C518" s="320"/>
      <c r="D518" s="320"/>
      <c r="E518" s="320"/>
      <c r="F518" s="320"/>
      <c r="G518" s="320"/>
      <c r="H518" s="320"/>
      <c r="I518" s="320"/>
      <c r="J518" s="320"/>
      <c r="K518" s="320"/>
      <c r="L518" s="320"/>
      <c r="M518" s="320"/>
      <c r="N518" s="320"/>
      <c r="O518" s="321"/>
      <c r="P518" s="321"/>
      <c r="Y518" s="326"/>
      <c r="Z518" s="326"/>
      <c r="AA518" s="326"/>
      <c r="AB518" s="326"/>
      <c r="AC518" s="326"/>
      <c r="AD518" s="326"/>
      <c r="AG518" s="326"/>
      <c r="AH518" s="326"/>
      <c r="AI518" s="326"/>
      <c r="AL518" s="326"/>
      <c r="AM518" s="326"/>
      <c r="AN518" s="326"/>
    </row>
    <row r="519" spans="1:40" x14ac:dyDescent="0.15">
      <c r="A519" s="318"/>
      <c r="B519" s="320"/>
      <c r="C519" s="320"/>
      <c r="D519" s="320"/>
      <c r="E519" s="320"/>
      <c r="F519" s="320"/>
      <c r="G519" s="320"/>
      <c r="H519" s="320"/>
      <c r="I519" s="320"/>
      <c r="J519" s="320"/>
      <c r="K519" s="320"/>
      <c r="L519" s="320"/>
      <c r="M519" s="320"/>
      <c r="N519" s="320"/>
      <c r="O519" s="321"/>
      <c r="P519" s="321"/>
      <c r="Y519" s="326"/>
      <c r="Z519" s="326"/>
      <c r="AA519" s="326"/>
      <c r="AB519" s="326"/>
      <c r="AC519" s="326"/>
      <c r="AD519" s="326"/>
      <c r="AG519" s="326"/>
      <c r="AH519" s="326"/>
      <c r="AI519" s="326"/>
      <c r="AL519" s="326"/>
      <c r="AM519" s="326"/>
      <c r="AN519" s="326"/>
    </row>
    <row r="520" spans="1:40" x14ac:dyDescent="0.15">
      <c r="A520" s="318"/>
      <c r="B520" s="320"/>
      <c r="C520" s="320"/>
      <c r="D520" s="320"/>
      <c r="E520" s="320"/>
      <c r="F520" s="320"/>
      <c r="G520" s="320"/>
      <c r="H520" s="320"/>
      <c r="I520" s="320"/>
      <c r="J520" s="320"/>
      <c r="K520" s="320"/>
      <c r="L520" s="320"/>
      <c r="M520" s="320"/>
      <c r="N520" s="320"/>
      <c r="O520" s="321"/>
      <c r="P520" s="321"/>
      <c r="Y520" s="326"/>
      <c r="Z520" s="326"/>
      <c r="AA520" s="326"/>
      <c r="AB520" s="326"/>
      <c r="AC520" s="326"/>
      <c r="AD520" s="326"/>
      <c r="AG520" s="326"/>
      <c r="AH520" s="326"/>
      <c r="AI520" s="326"/>
      <c r="AL520" s="326"/>
      <c r="AM520" s="326"/>
      <c r="AN520" s="326"/>
    </row>
    <row r="521" spans="1:40" x14ac:dyDescent="0.15">
      <c r="A521" s="318"/>
      <c r="B521" s="320"/>
      <c r="C521" s="320"/>
      <c r="D521" s="320"/>
      <c r="E521" s="320"/>
      <c r="F521" s="320"/>
      <c r="G521" s="320"/>
      <c r="H521" s="320"/>
      <c r="I521" s="320"/>
      <c r="J521" s="320"/>
      <c r="K521" s="320"/>
      <c r="L521" s="320"/>
      <c r="M521" s="320"/>
      <c r="N521" s="320"/>
      <c r="O521" s="321"/>
      <c r="P521" s="321"/>
      <c r="Y521" s="326"/>
      <c r="Z521" s="326"/>
      <c r="AA521" s="326"/>
      <c r="AB521" s="326"/>
      <c r="AC521" s="326"/>
      <c r="AD521" s="326"/>
      <c r="AG521" s="326"/>
      <c r="AH521" s="326"/>
      <c r="AI521" s="326"/>
      <c r="AL521" s="326"/>
      <c r="AM521" s="326"/>
      <c r="AN521" s="326"/>
    </row>
    <row r="522" spans="1:40" x14ac:dyDescent="0.15">
      <c r="A522" s="318"/>
      <c r="B522" s="320"/>
      <c r="C522" s="320"/>
      <c r="D522" s="320"/>
      <c r="E522" s="320"/>
      <c r="F522" s="320"/>
      <c r="G522" s="320"/>
      <c r="H522" s="320"/>
      <c r="I522" s="320"/>
      <c r="J522" s="320"/>
      <c r="K522" s="320"/>
      <c r="L522" s="320"/>
      <c r="M522" s="320"/>
      <c r="N522" s="320"/>
      <c r="O522" s="321"/>
      <c r="P522" s="321"/>
      <c r="Y522" s="326"/>
      <c r="Z522" s="326"/>
      <c r="AA522" s="326"/>
      <c r="AB522" s="326"/>
      <c r="AC522" s="326"/>
      <c r="AD522" s="326"/>
      <c r="AG522" s="326"/>
      <c r="AH522" s="326"/>
      <c r="AI522" s="326"/>
      <c r="AL522" s="326"/>
      <c r="AM522" s="326"/>
      <c r="AN522" s="326"/>
    </row>
    <row r="523" spans="1:40" x14ac:dyDescent="0.15">
      <c r="A523" s="318"/>
      <c r="B523" s="320"/>
      <c r="C523" s="320"/>
      <c r="D523" s="320"/>
      <c r="E523" s="320"/>
      <c r="F523" s="320"/>
      <c r="G523" s="320"/>
      <c r="H523" s="320"/>
      <c r="I523" s="320"/>
      <c r="J523" s="320"/>
      <c r="K523" s="320"/>
      <c r="L523" s="320"/>
      <c r="M523" s="320"/>
      <c r="N523" s="320"/>
      <c r="O523" s="321"/>
      <c r="P523" s="321"/>
      <c r="Y523" s="326"/>
      <c r="Z523" s="326"/>
      <c r="AA523" s="326"/>
      <c r="AB523" s="326"/>
      <c r="AC523" s="326"/>
      <c r="AD523" s="326"/>
      <c r="AG523" s="326"/>
      <c r="AH523" s="326"/>
      <c r="AI523" s="326"/>
      <c r="AL523" s="326"/>
      <c r="AM523" s="326"/>
      <c r="AN523" s="326"/>
    </row>
    <row r="524" spans="1:40" x14ac:dyDescent="0.15">
      <c r="A524" s="318"/>
      <c r="B524" s="320"/>
      <c r="C524" s="320"/>
      <c r="D524" s="320"/>
      <c r="E524" s="320"/>
      <c r="F524" s="320"/>
      <c r="G524" s="320"/>
      <c r="H524" s="320"/>
      <c r="I524" s="320"/>
      <c r="J524" s="320"/>
      <c r="K524" s="320"/>
      <c r="L524" s="320"/>
      <c r="M524" s="320"/>
      <c r="N524" s="320"/>
      <c r="O524" s="321"/>
      <c r="P524" s="321"/>
      <c r="Y524" s="326"/>
      <c r="Z524" s="326"/>
      <c r="AA524" s="326"/>
      <c r="AB524" s="326"/>
      <c r="AC524" s="326"/>
      <c r="AD524" s="326"/>
      <c r="AG524" s="326"/>
      <c r="AH524" s="326"/>
      <c r="AI524" s="326"/>
      <c r="AL524" s="326"/>
      <c r="AM524" s="326"/>
      <c r="AN524" s="326"/>
    </row>
    <row r="525" spans="1:40" x14ac:dyDescent="0.15">
      <c r="A525" s="318"/>
      <c r="B525" s="320"/>
      <c r="C525" s="320"/>
      <c r="D525" s="320"/>
      <c r="E525" s="320"/>
      <c r="F525" s="320"/>
      <c r="G525" s="320"/>
      <c r="H525" s="320"/>
      <c r="I525" s="320"/>
      <c r="J525" s="320"/>
      <c r="K525" s="320"/>
      <c r="L525" s="320"/>
      <c r="M525" s="320"/>
      <c r="N525" s="320"/>
      <c r="O525" s="321"/>
      <c r="P525" s="321"/>
      <c r="Y525" s="326"/>
      <c r="Z525" s="326"/>
      <c r="AA525" s="326"/>
      <c r="AB525" s="326"/>
      <c r="AC525" s="326"/>
      <c r="AD525" s="326"/>
      <c r="AG525" s="326"/>
      <c r="AH525" s="326"/>
      <c r="AI525" s="326"/>
      <c r="AL525" s="326"/>
      <c r="AM525" s="326"/>
      <c r="AN525" s="326"/>
    </row>
    <row r="526" spans="1:40" x14ac:dyDescent="0.15">
      <c r="A526" s="318"/>
      <c r="B526" s="320"/>
      <c r="C526" s="320"/>
      <c r="D526" s="320"/>
      <c r="E526" s="320"/>
      <c r="F526" s="320"/>
      <c r="G526" s="320"/>
      <c r="H526" s="320"/>
      <c r="I526" s="320"/>
      <c r="J526" s="320"/>
      <c r="K526" s="320"/>
      <c r="L526" s="320"/>
      <c r="M526" s="320"/>
      <c r="N526" s="320"/>
      <c r="O526" s="321"/>
      <c r="P526" s="321"/>
      <c r="Y526" s="326"/>
      <c r="Z526" s="326"/>
      <c r="AA526" s="326"/>
      <c r="AB526" s="326"/>
      <c r="AC526" s="326"/>
      <c r="AD526" s="326"/>
      <c r="AG526" s="326"/>
      <c r="AH526" s="326"/>
      <c r="AI526" s="326"/>
      <c r="AL526" s="326"/>
      <c r="AM526" s="326"/>
      <c r="AN526" s="326"/>
    </row>
    <row r="527" spans="1:40" x14ac:dyDescent="0.15">
      <c r="A527" s="318"/>
      <c r="B527" s="320"/>
      <c r="C527" s="320"/>
      <c r="D527" s="320"/>
      <c r="E527" s="320"/>
      <c r="F527" s="320"/>
      <c r="G527" s="320"/>
      <c r="H527" s="320"/>
      <c r="I527" s="320"/>
      <c r="J527" s="320"/>
      <c r="K527" s="320"/>
      <c r="L527" s="320"/>
      <c r="M527" s="320"/>
      <c r="N527" s="320"/>
      <c r="O527" s="321"/>
      <c r="P527" s="321"/>
      <c r="Y527" s="326"/>
      <c r="Z527" s="326"/>
      <c r="AA527" s="326"/>
      <c r="AB527" s="326"/>
      <c r="AC527" s="326"/>
      <c r="AD527" s="326"/>
      <c r="AG527" s="326"/>
      <c r="AH527" s="326"/>
      <c r="AI527" s="326"/>
      <c r="AL527" s="326"/>
      <c r="AM527" s="326"/>
      <c r="AN527" s="326"/>
    </row>
    <row r="528" spans="1:40" x14ac:dyDescent="0.15">
      <c r="A528" s="318"/>
      <c r="B528" s="320"/>
      <c r="C528" s="320"/>
      <c r="D528" s="320"/>
      <c r="E528" s="320"/>
      <c r="F528" s="320"/>
      <c r="G528" s="320"/>
      <c r="H528" s="320"/>
      <c r="I528" s="320"/>
      <c r="J528" s="320"/>
      <c r="K528" s="320"/>
      <c r="L528" s="320"/>
      <c r="M528" s="320"/>
      <c r="N528" s="320"/>
      <c r="O528" s="321"/>
      <c r="P528" s="321"/>
      <c r="Y528" s="326"/>
      <c r="Z528" s="326"/>
      <c r="AA528" s="326"/>
      <c r="AB528" s="326"/>
      <c r="AC528" s="326"/>
      <c r="AD528" s="326"/>
      <c r="AG528" s="326"/>
      <c r="AH528" s="326"/>
      <c r="AI528" s="326"/>
      <c r="AL528" s="326"/>
      <c r="AM528" s="326"/>
      <c r="AN528" s="326"/>
    </row>
    <row r="529" spans="1:40" x14ac:dyDescent="0.15">
      <c r="A529" s="318"/>
      <c r="B529" s="320"/>
      <c r="C529" s="320"/>
      <c r="D529" s="320"/>
      <c r="E529" s="320"/>
      <c r="F529" s="320"/>
      <c r="G529" s="320"/>
      <c r="H529" s="320"/>
      <c r="I529" s="320"/>
      <c r="J529" s="320"/>
      <c r="K529" s="320"/>
      <c r="L529" s="320"/>
      <c r="M529" s="320"/>
      <c r="N529" s="320"/>
      <c r="O529" s="321"/>
      <c r="P529" s="321"/>
      <c r="Y529" s="326"/>
      <c r="Z529" s="326"/>
      <c r="AA529" s="326"/>
      <c r="AB529" s="326"/>
      <c r="AC529" s="326"/>
      <c r="AD529" s="326"/>
      <c r="AG529" s="326"/>
      <c r="AH529" s="326"/>
      <c r="AI529" s="326"/>
      <c r="AL529" s="326"/>
      <c r="AM529" s="326"/>
      <c r="AN529" s="326"/>
    </row>
    <row r="530" spans="1:40" x14ac:dyDescent="0.15">
      <c r="A530" s="318"/>
      <c r="B530" s="320"/>
      <c r="C530" s="320"/>
      <c r="D530" s="320"/>
      <c r="E530" s="320"/>
      <c r="F530" s="320"/>
      <c r="G530" s="320"/>
      <c r="H530" s="320"/>
      <c r="I530" s="320"/>
      <c r="J530" s="320"/>
      <c r="K530" s="320"/>
      <c r="L530" s="320"/>
      <c r="M530" s="320"/>
      <c r="N530" s="320"/>
      <c r="O530" s="321"/>
      <c r="P530" s="321"/>
      <c r="Y530" s="326"/>
      <c r="Z530" s="326"/>
      <c r="AA530" s="326"/>
      <c r="AB530" s="326"/>
      <c r="AC530" s="326"/>
      <c r="AD530" s="326"/>
      <c r="AG530" s="326"/>
      <c r="AH530" s="326"/>
      <c r="AI530" s="326"/>
      <c r="AL530" s="326"/>
      <c r="AM530" s="326"/>
      <c r="AN530" s="326"/>
    </row>
    <row r="531" spans="1:40" x14ac:dyDescent="0.15">
      <c r="A531" s="318"/>
      <c r="B531" s="320"/>
      <c r="C531" s="320"/>
      <c r="D531" s="320"/>
      <c r="E531" s="320"/>
      <c r="F531" s="320"/>
      <c r="G531" s="320"/>
      <c r="H531" s="320"/>
      <c r="I531" s="320"/>
      <c r="J531" s="320"/>
      <c r="K531" s="320"/>
      <c r="L531" s="320"/>
      <c r="M531" s="320"/>
      <c r="N531" s="320"/>
      <c r="O531" s="321"/>
      <c r="P531" s="321"/>
      <c r="Y531" s="326"/>
      <c r="Z531" s="326"/>
      <c r="AA531" s="326"/>
      <c r="AB531" s="326"/>
      <c r="AC531" s="326"/>
      <c r="AD531" s="326"/>
      <c r="AG531" s="326"/>
      <c r="AH531" s="326"/>
      <c r="AI531" s="326"/>
      <c r="AL531" s="326"/>
      <c r="AM531" s="326"/>
      <c r="AN531" s="326"/>
    </row>
    <row r="532" spans="1:40" x14ac:dyDescent="0.15">
      <c r="A532" s="318"/>
      <c r="B532" s="320"/>
      <c r="C532" s="320"/>
      <c r="D532" s="320"/>
      <c r="E532" s="320"/>
      <c r="F532" s="320"/>
      <c r="G532" s="320"/>
      <c r="H532" s="320"/>
      <c r="I532" s="320"/>
      <c r="J532" s="320"/>
      <c r="K532" s="320"/>
      <c r="L532" s="320"/>
      <c r="M532" s="320"/>
      <c r="N532" s="320"/>
      <c r="O532" s="321"/>
      <c r="P532" s="321"/>
      <c r="Y532" s="326"/>
      <c r="Z532" s="326"/>
      <c r="AA532" s="326"/>
      <c r="AB532" s="326"/>
      <c r="AC532" s="326"/>
      <c r="AD532" s="326"/>
      <c r="AG532" s="326"/>
      <c r="AH532" s="326"/>
      <c r="AI532" s="326"/>
      <c r="AL532" s="326"/>
      <c r="AM532" s="326"/>
      <c r="AN532" s="326"/>
    </row>
    <row r="533" spans="1:40" x14ac:dyDescent="0.15">
      <c r="A533" s="318"/>
      <c r="B533" s="320"/>
      <c r="C533" s="320"/>
      <c r="D533" s="320"/>
      <c r="E533" s="320"/>
      <c r="F533" s="320"/>
      <c r="G533" s="320"/>
      <c r="H533" s="320"/>
      <c r="I533" s="320"/>
      <c r="J533" s="320"/>
      <c r="K533" s="320"/>
      <c r="L533" s="320"/>
      <c r="M533" s="320"/>
      <c r="N533" s="320"/>
      <c r="O533" s="321"/>
      <c r="P533" s="321"/>
      <c r="Y533" s="326"/>
      <c r="Z533" s="326"/>
      <c r="AA533" s="326"/>
      <c r="AB533" s="326"/>
      <c r="AC533" s="326"/>
      <c r="AD533" s="326"/>
      <c r="AG533" s="326"/>
      <c r="AH533" s="326"/>
      <c r="AI533" s="326"/>
      <c r="AL533" s="326"/>
      <c r="AM533" s="326"/>
      <c r="AN533" s="326"/>
    </row>
    <row r="534" spans="1:40" x14ac:dyDescent="0.15">
      <c r="A534" s="318"/>
      <c r="B534" s="320"/>
      <c r="C534" s="320"/>
      <c r="D534" s="320"/>
      <c r="E534" s="320"/>
      <c r="F534" s="320"/>
      <c r="G534" s="320"/>
      <c r="H534" s="320"/>
      <c r="I534" s="320"/>
      <c r="J534" s="320"/>
      <c r="K534" s="320"/>
      <c r="L534" s="320"/>
      <c r="M534" s="320"/>
      <c r="N534" s="320"/>
      <c r="O534" s="321"/>
      <c r="P534" s="321"/>
      <c r="Y534" s="326"/>
      <c r="Z534" s="326"/>
      <c r="AA534" s="326"/>
      <c r="AB534" s="326"/>
      <c r="AC534" s="326"/>
      <c r="AD534" s="326"/>
      <c r="AG534" s="326"/>
      <c r="AH534" s="326"/>
      <c r="AI534" s="326"/>
      <c r="AL534" s="326"/>
      <c r="AM534" s="326"/>
      <c r="AN534" s="326"/>
    </row>
    <row r="535" spans="1:40" x14ac:dyDescent="0.15">
      <c r="A535" s="318"/>
      <c r="B535" s="320"/>
      <c r="C535" s="320"/>
      <c r="D535" s="320"/>
      <c r="E535" s="320"/>
      <c r="F535" s="320"/>
      <c r="G535" s="320"/>
      <c r="H535" s="320"/>
      <c r="I535" s="320"/>
      <c r="J535" s="320"/>
      <c r="K535" s="320"/>
      <c r="L535" s="320"/>
      <c r="M535" s="320"/>
      <c r="N535" s="320"/>
      <c r="O535" s="321"/>
      <c r="P535" s="321"/>
      <c r="Y535" s="326"/>
      <c r="Z535" s="326"/>
      <c r="AA535" s="326"/>
      <c r="AB535" s="326"/>
      <c r="AC535" s="326"/>
      <c r="AD535" s="326"/>
      <c r="AG535" s="326"/>
      <c r="AH535" s="326"/>
      <c r="AI535" s="326"/>
      <c r="AL535" s="326"/>
      <c r="AM535" s="326"/>
      <c r="AN535" s="326"/>
    </row>
    <row r="536" spans="1:40" x14ac:dyDescent="0.15">
      <c r="A536" s="318"/>
      <c r="B536" s="320"/>
      <c r="C536" s="320"/>
      <c r="D536" s="320"/>
      <c r="E536" s="320"/>
      <c r="F536" s="320"/>
      <c r="G536" s="320"/>
      <c r="H536" s="320"/>
      <c r="I536" s="320"/>
      <c r="J536" s="320"/>
      <c r="K536" s="320"/>
      <c r="L536" s="320"/>
      <c r="M536" s="320"/>
      <c r="N536" s="320"/>
      <c r="O536" s="321"/>
      <c r="P536" s="321"/>
      <c r="Y536" s="326"/>
      <c r="Z536" s="326"/>
      <c r="AA536" s="326"/>
      <c r="AB536" s="326"/>
      <c r="AC536" s="326"/>
      <c r="AD536" s="326"/>
      <c r="AG536" s="326"/>
      <c r="AH536" s="326"/>
      <c r="AI536" s="326"/>
      <c r="AL536" s="326"/>
      <c r="AM536" s="326"/>
      <c r="AN536" s="326"/>
    </row>
    <row r="537" spans="1:40" x14ac:dyDescent="0.15">
      <c r="A537" s="318"/>
      <c r="B537" s="320"/>
      <c r="C537" s="320"/>
      <c r="D537" s="320"/>
      <c r="E537" s="320"/>
      <c r="F537" s="320"/>
      <c r="G537" s="320"/>
      <c r="H537" s="320"/>
      <c r="I537" s="320"/>
      <c r="J537" s="320"/>
      <c r="K537" s="320"/>
      <c r="L537" s="320"/>
      <c r="M537" s="320"/>
      <c r="N537" s="320"/>
      <c r="O537" s="321"/>
      <c r="P537" s="321"/>
      <c r="Y537" s="326"/>
      <c r="Z537" s="326"/>
      <c r="AA537" s="326"/>
      <c r="AB537" s="326"/>
      <c r="AC537" s="326"/>
      <c r="AD537" s="326"/>
      <c r="AG537" s="326"/>
      <c r="AH537" s="326"/>
      <c r="AI537" s="326"/>
      <c r="AL537" s="326"/>
      <c r="AM537" s="326"/>
      <c r="AN537" s="326"/>
    </row>
    <row r="538" spans="1:40" x14ac:dyDescent="0.15">
      <c r="A538" s="318"/>
      <c r="B538" s="320"/>
      <c r="C538" s="320"/>
      <c r="D538" s="320"/>
      <c r="E538" s="320"/>
      <c r="F538" s="320"/>
      <c r="G538" s="320"/>
      <c r="H538" s="320"/>
      <c r="I538" s="320"/>
      <c r="J538" s="320"/>
      <c r="K538" s="320"/>
      <c r="L538" s="320"/>
      <c r="M538" s="320"/>
      <c r="N538" s="320"/>
      <c r="O538" s="321"/>
      <c r="P538" s="321"/>
      <c r="Y538" s="326"/>
      <c r="Z538" s="326"/>
      <c r="AB538" s="326"/>
      <c r="AC538" s="326"/>
      <c r="AD538" s="326"/>
      <c r="AG538" s="326"/>
      <c r="AH538" s="326"/>
      <c r="AI538" s="326"/>
      <c r="AL538" s="326"/>
      <c r="AM538" s="326"/>
      <c r="AN538" s="326"/>
    </row>
    <row r="539" spans="1:40" x14ac:dyDescent="0.15">
      <c r="A539" s="318"/>
      <c r="B539" s="320"/>
      <c r="C539" s="320"/>
      <c r="D539" s="320"/>
      <c r="E539" s="320"/>
      <c r="F539" s="320"/>
      <c r="G539" s="320"/>
      <c r="H539" s="320"/>
      <c r="I539" s="320"/>
      <c r="J539" s="320"/>
      <c r="K539" s="320"/>
      <c r="L539" s="320"/>
      <c r="M539" s="320"/>
      <c r="N539" s="320"/>
      <c r="O539" s="321"/>
      <c r="P539" s="321"/>
      <c r="Y539" s="326"/>
      <c r="Z539" s="326"/>
      <c r="AB539" s="326"/>
      <c r="AC539" s="326"/>
      <c r="AD539" s="326"/>
      <c r="AG539" s="326"/>
      <c r="AH539" s="326"/>
      <c r="AI539" s="326"/>
      <c r="AL539" s="326"/>
      <c r="AM539" s="326"/>
      <c r="AN539" s="326"/>
    </row>
    <row r="540" spans="1:40" x14ac:dyDescent="0.15">
      <c r="A540" s="318"/>
      <c r="B540" s="320"/>
      <c r="C540" s="320"/>
      <c r="D540" s="320"/>
      <c r="E540" s="320"/>
      <c r="F540" s="320"/>
      <c r="G540" s="320"/>
      <c r="H540" s="320"/>
      <c r="I540" s="320"/>
      <c r="J540" s="320"/>
      <c r="K540" s="320"/>
      <c r="L540" s="320"/>
      <c r="M540" s="320"/>
      <c r="N540" s="320"/>
      <c r="O540" s="321"/>
      <c r="P540" s="321"/>
      <c r="Y540" s="326"/>
      <c r="Z540" s="326"/>
      <c r="AB540" s="326"/>
      <c r="AC540" s="326"/>
      <c r="AD540" s="326"/>
      <c r="AG540" s="326"/>
      <c r="AH540" s="326"/>
      <c r="AI540" s="326"/>
      <c r="AL540" s="326"/>
      <c r="AM540" s="326"/>
      <c r="AN540" s="326"/>
    </row>
    <row r="541" spans="1:40" x14ac:dyDescent="0.15">
      <c r="A541" s="318"/>
      <c r="B541" s="320"/>
      <c r="C541" s="320"/>
      <c r="D541" s="320"/>
      <c r="E541" s="320"/>
      <c r="F541" s="320"/>
      <c r="G541" s="320"/>
      <c r="H541" s="320"/>
      <c r="I541" s="320"/>
      <c r="J541" s="320"/>
      <c r="K541" s="320"/>
      <c r="L541" s="320"/>
      <c r="M541" s="320"/>
      <c r="N541" s="320"/>
      <c r="O541" s="321"/>
      <c r="P541" s="321"/>
      <c r="Y541" s="326"/>
      <c r="Z541" s="326"/>
      <c r="AA541" s="326"/>
      <c r="AB541" s="326"/>
      <c r="AC541" s="326"/>
      <c r="AD541" s="326"/>
      <c r="AG541" s="326"/>
      <c r="AH541" s="326"/>
      <c r="AI541" s="326"/>
      <c r="AL541" s="326"/>
      <c r="AM541" s="326"/>
      <c r="AN541" s="326"/>
    </row>
    <row r="542" spans="1:40" x14ac:dyDescent="0.15">
      <c r="A542" s="318"/>
      <c r="B542" s="320"/>
      <c r="C542" s="320"/>
      <c r="D542" s="320"/>
      <c r="E542" s="320"/>
      <c r="F542" s="320"/>
      <c r="G542" s="320"/>
      <c r="H542" s="320"/>
      <c r="I542" s="320"/>
      <c r="J542" s="320"/>
      <c r="K542" s="320"/>
      <c r="L542" s="320"/>
      <c r="M542" s="320"/>
      <c r="N542" s="320"/>
      <c r="O542" s="321"/>
      <c r="P542" s="321"/>
      <c r="Y542" s="326"/>
      <c r="Z542" s="326"/>
      <c r="AA542" s="326"/>
      <c r="AB542" s="326"/>
      <c r="AC542" s="326"/>
      <c r="AD542" s="326"/>
      <c r="AG542" s="326"/>
      <c r="AH542" s="326"/>
      <c r="AI542" s="326"/>
      <c r="AL542" s="326"/>
      <c r="AM542" s="326"/>
      <c r="AN542" s="326"/>
    </row>
    <row r="543" spans="1:40" x14ac:dyDescent="0.15">
      <c r="A543" s="318"/>
      <c r="B543" s="320"/>
      <c r="C543" s="320"/>
      <c r="D543" s="320"/>
      <c r="E543" s="320"/>
      <c r="F543" s="320"/>
      <c r="G543" s="320"/>
      <c r="H543" s="320"/>
      <c r="I543" s="320"/>
      <c r="J543" s="320"/>
      <c r="K543" s="320"/>
      <c r="L543" s="320"/>
      <c r="M543" s="320"/>
      <c r="N543" s="320"/>
      <c r="O543" s="321"/>
      <c r="P543" s="321"/>
      <c r="Y543" s="326"/>
      <c r="Z543" s="326"/>
      <c r="AA543" s="326"/>
      <c r="AB543" s="326"/>
      <c r="AC543" s="326"/>
      <c r="AD543" s="326"/>
      <c r="AG543" s="326"/>
      <c r="AH543" s="326"/>
      <c r="AI543" s="326"/>
      <c r="AL543" s="326"/>
      <c r="AM543" s="326"/>
      <c r="AN543" s="326"/>
    </row>
    <row r="544" spans="1:40" x14ac:dyDescent="0.15">
      <c r="A544" s="318"/>
      <c r="B544" s="320"/>
      <c r="C544" s="320"/>
      <c r="D544" s="320"/>
      <c r="E544" s="320"/>
      <c r="F544" s="320"/>
      <c r="G544" s="320"/>
      <c r="H544" s="320"/>
      <c r="I544" s="320"/>
      <c r="J544" s="320"/>
      <c r="K544" s="320"/>
      <c r="L544" s="320"/>
      <c r="M544" s="320"/>
      <c r="N544" s="320"/>
      <c r="O544" s="321"/>
      <c r="P544" s="321"/>
      <c r="Y544" s="326"/>
      <c r="Z544" s="326"/>
      <c r="AA544" s="326"/>
      <c r="AB544" s="326"/>
      <c r="AC544" s="326"/>
      <c r="AD544" s="326"/>
      <c r="AG544" s="326"/>
      <c r="AH544" s="326"/>
      <c r="AI544" s="326"/>
      <c r="AL544" s="326"/>
      <c r="AM544" s="326"/>
      <c r="AN544" s="326"/>
    </row>
    <row r="545" spans="1:40" x14ac:dyDescent="0.15">
      <c r="A545" s="318"/>
      <c r="B545" s="320"/>
      <c r="C545" s="320"/>
      <c r="D545" s="320"/>
      <c r="E545" s="320"/>
      <c r="F545" s="320"/>
      <c r="G545" s="320"/>
      <c r="H545" s="320"/>
      <c r="I545" s="320"/>
      <c r="J545" s="320"/>
      <c r="K545" s="320"/>
      <c r="L545" s="320"/>
      <c r="M545" s="320"/>
      <c r="N545" s="320"/>
      <c r="O545" s="321"/>
      <c r="P545" s="321"/>
      <c r="Y545" s="326"/>
      <c r="Z545" s="326"/>
      <c r="AA545" s="326"/>
      <c r="AB545" s="326"/>
      <c r="AC545" s="326"/>
      <c r="AD545" s="326"/>
      <c r="AG545" s="326"/>
      <c r="AH545" s="326"/>
      <c r="AI545" s="326"/>
      <c r="AL545" s="326"/>
      <c r="AM545" s="326"/>
      <c r="AN545" s="326"/>
    </row>
    <row r="546" spans="1:40" x14ac:dyDescent="0.15">
      <c r="A546" s="318"/>
      <c r="B546" s="320"/>
      <c r="C546" s="320"/>
      <c r="D546" s="320"/>
      <c r="E546" s="320"/>
      <c r="F546" s="320"/>
      <c r="G546" s="320"/>
      <c r="H546" s="320"/>
      <c r="I546" s="320"/>
      <c r="J546" s="320"/>
      <c r="K546" s="320"/>
      <c r="L546" s="320"/>
      <c r="M546" s="320"/>
      <c r="N546" s="320"/>
      <c r="O546" s="321"/>
      <c r="P546" s="321"/>
      <c r="Y546" s="326"/>
      <c r="Z546" s="326"/>
      <c r="AA546" s="326"/>
      <c r="AB546" s="326"/>
      <c r="AC546" s="326"/>
      <c r="AD546" s="326"/>
      <c r="AG546" s="326"/>
      <c r="AH546" s="326"/>
      <c r="AI546" s="326"/>
      <c r="AL546" s="326"/>
      <c r="AM546" s="326"/>
      <c r="AN546" s="326"/>
    </row>
    <row r="547" spans="1:40" x14ac:dyDescent="0.15">
      <c r="A547" s="318"/>
      <c r="B547" s="320"/>
      <c r="C547" s="320"/>
      <c r="D547" s="320"/>
      <c r="E547" s="320"/>
      <c r="F547" s="320"/>
      <c r="G547" s="320"/>
      <c r="H547" s="320"/>
      <c r="I547" s="320"/>
      <c r="J547" s="320"/>
      <c r="K547" s="320"/>
      <c r="L547" s="320"/>
      <c r="M547" s="320"/>
      <c r="N547" s="320"/>
      <c r="O547" s="321"/>
      <c r="P547" s="321"/>
      <c r="Y547" s="326"/>
      <c r="Z547" s="326"/>
      <c r="AA547" s="326"/>
      <c r="AB547" s="326"/>
      <c r="AC547" s="326"/>
      <c r="AD547" s="326"/>
      <c r="AG547" s="326"/>
      <c r="AH547" s="326"/>
      <c r="AI547" s="326"/>
      <c r="AL547" s="326"/>
      <c r="AM547" s="326"/>
      <c r="AN547" s="326"/>
    </row>
    <row r="548" spans="1:40" x14ac:dyDescent="0.15">
      <c r="A548" s="318"/>
      <c r="B548" s="320"/>
      <c r="C548" s="320"/>
      <c r="D548" s="320"/>
      <c r="E548" s="320"/>
      <c r="F548" s="320"/>
      <c r="G548" s="320"/>
      <c r="H548" s="320"/>
      <c r="I548" s="320"/>
      <c r="J548" s="320"/>
      <c r="K548" s="320"/>
      <c r="L548" s="320"/>
      <c r="M548" s="320"/>
      <c r="N548" s="320"/>
      <c r="O548" s="321"/>
      <c r="P548" s="321"/>
      <c r="Y548" s="326"/>
      <c r="Z548" s="326"/>
      <c r="AA548" s="326"/>
      <c r="AB548" s="326"/>
      <c r="AC548" s="326"/>
      <c r="AD548" s="326"/>
      <c r="AG548" s="326"/>
      <c r="AH548" s="326"/>
      <c r="AI548" s="326"/>
      <c r="AL548" s="326"/>
      <c r="AM548" s="326"/>
      <c r="AN548" s="326"/>
    </row>
    <row r="549" spans="1:40" x14ac:dyDescent="0.15">
      <c r="A549" s="318"/>
      <c r="B549" s="320"/>
      <c r="C549" s="320"/>
      <c r="D549" s="320"/>
      <c r="E549" s="320"/>
      <c r="F549" s="320"/>
      <c r="G549" s="320"/>
      <c r="H549" s="320"/>
      <c r="I549" s="320"/>
      <c r="J549" s="320"/>
      <c r="K549" s="320"/>
      <c r="L549" s="320"/>
      <c r="M549" s="320"/>
      <c r="N549" s="320"/>
      <c r="O549" s="321"/>
      <c r="P549" s="321"/>
      <c r="Y549" s="326"/>
      <c r="Z549" s="326"/>
      <c r="AA549" s="326"/>
      <c r="AB549" s="326"/>
      <c r="AC549" s="326"/>
      <c r="AD549" s="326"/>
      <c r="AG549" s="326"/>
      <c r="AH549" s="326"/>
      <c r="AI549" s="326"/>
      <c r="AL549" s="326"/>
      <c r="AM549" s="326"/>
      <c r="AN549" s="326"/>
    </row>
    <row r="550" spans="1:40" x14ac:dyDescent="0.15">
      <c r="A550" s="318"/>
      <c r="B550" s="320"/>
      <c r="C550" s="320"/>
      <c r="D550" s="320"/>
      <c r="E550" s="320"/>
      <c r="F550" s="320"/>
      <c r="G550" s="320"/>
      <c r="H550" s="320"/>
      <c r="I550" s="320"/>
      <c r="J550" s="320"/>
      <c r="K550" s="320"/>
      <c r="L550" s="320"/>
      <c r="M550" s="320"/>
      <c r="N550" s="320"/>
      <c r="O550" s="321"/>
      <c r="P550" s="321"/>
      <c r="Y550" s="326"/>
      <c r="Z550" s="326"/>
      <c r="AA550" s="326"/>
      <c r="AB550" s="326"/>
      <c r="AC550" s="326"/>
      <c r="AD550" s="326"/>
      <c r="AG550" s="326"/>
      <c r="AH550" s="326"/>
      <c r="AI550" s="326"/>
      <c r="AL550" s="326"/>
      <c r="AM550" s="326"/>
      <c r="AN550" s="326"/>
    </row>
    <row r="551" spans="1:40" x14ac:dyDescent="0.15">
      <c r="A551" s="318"/>
      <c r="B551" s="320"/>
      <c r="C551" s="320"/>
      <c r="D551" s="320"/>
      <c r="E551" s="320"/>
      <c r="F551" s="320"/>
      <c r="G551" s="320"/>
      <c r="H551" s="320"/>
      <c r="I551" s="320"/>
      <c r="J551" s="320"/>
      <c r="K551" s="320"/>
      <c r="L551" s="320"/>
      <c r="M551" s="320"/>
      <c r="N551" s="320"/>
      <c r="O551" s="321"/>
      <c r="P551" s="321"/>
      <c r="Y551" s="326"/>
      <c r="Z551" s="326"/>
      <c r="AA551" s="326"/>
      <c r="AB551" s="326"/>
      <c r="AC551" s="326"/>
      <c r="AD551" s="326"/>
      <c r="AG551" s="326"/>
      <c r="AH551" s="326"/>
      <c r="AI551" s="326"/>
      <c r="AL551" s="326"/>
      <c r="AM551" s="326"/>
      <c r="AN551" s="326"/>
    </row>
    <row r="552" spans="1:40" x14ac:dyDescent="0.15">
      <c r="A552" s="318"/>
      <c r="B552" s="320"/>
      <c r="C552" s="320"/>
      <c r="D552" s="320"/>
      <c r="E552" s="320"/>
      <c r="F552" s="320"/>
      <c r="G552" s="320"/>
      <c r="H552" s="320"/>
      <c r="I552" s="320"/>
      <c r="J552" s="320"/>
      <c r="K552" s="320"/>
      <c r="L552" s="320"/>
      <c r="M552" s="320"/>
      <c r="N552" s="320"/>
      <c r="O552" s="321"/>
      <c r="P552" s="321"/>
      <c r="Y552" s="326"/>
      <c r="Z552" s="326"/>
      <c r="AA552" s="326"/>
      <c r="AB552" s="326"/>
      <c r="AC552" s="326"/>
      <c r="AD552" s="326"/>
      <c r="AG552" s="326"/>
      <c r="AH552" s="326"/>
      <c r="AI552" s="326"/>
      <c r="AL552" s="326"/>
      <c r="AM552" s="326"/>
      <c r="AN552" s="326"/>
    </row>
    <row r="553" spans="1:40" x14ac:dyDescent="0.15">
      <c r="A553" s="318"/>
      <c r="B553" s="320"/>
      <c r="C553" s="320"/>
      <c r="D553" s="320"/>
      <c r="E553" s="320"/>
      <c r="F553" s="320"/>
      <c r="G553" s="320"/>
      <c r="H553" s="320"/>
      <c r="I553" s="320"/>
      <c r="J553" s="320"/>
      <c r="K553" s="320"/>
      <c r="L553" s="320"/>
      <c r="M553" s="320"/>
      <c r="N553" s="320"/>
      <c r="O553" s="321"/>
      <c r="P553" s="321"/>
      <c r="Y553" s="326"/>
      <c r="Z553" s="326"/>
      <c r="AA553" s="326"/>
      <c r="AB553" s="326"/>
      <c r="AC553" s="326"/>
      <c r="AD553" s="326"/>
      <c r="AG553" s="326"/>
      <c r="AH553" s="326"/>
      <c r="AI553" s="326"/>
      <c r="AL553" s="326"/>
      <c r="AM553" s="326"/>
      <c r="AN553" s="326"/>
    </row>
    <row r="554" spans="1:40" x14ac:dyDescent="0.15">
      <c r="A554" s="318"/>
      <c r="B554" s="320"/>
      <c r="C554" s="320"/>
      <c r="D554" s="320"/>
      <c r="E554" s="320"/>
      <c r="F554" s="320"/>
      <c r="G554" s="320"/>
      <c r="H554" s="320"/>
      <c r="I554" s="320"/>
      <c r="J554" s="320"/>
      <c r="K554" s="320"/>
      <c r="L554" s="320"/>
      <c r="M554" s="320"/>
      <c r="N554" s="320"/>
      <c r="O554" s="321"/>
      <c r="P554" s="321"/>
      <c r="Y554" s="326"/>
      <c r="Z554" s="326"/>
      <c r="AA554" s="326"/>
      <c r="AB554" s="326"/>
      <c r="AC554" s="326"/>
      <c r="AD554" s="326"/>
      <c r="AG554" s="326"/>
      <c r="AH554" s="326"/>
      <c r="AI554" s="326"/>
      <c r="AL554" s="326"/>
      <c r="AM554" s="326"/>
      <c r="AN554" s="326"/>
    </row>
    <row r="555" spans="1:40" x14ac:dyDescent="0.15">
      <c r="A555" s="318"/>
      <c r="B555" s="320"/>
      <c r="C555" s="320"/>
      <c r="D555" s="320"/>
      <c r="E555" s="320"/>
      <c r="F555" s="320"/>
      <c r="G555" s="320"/>
      <c r="H555" s="320"/>
      <c r="I555" s="320"/>
      <c r="J555" s="320"/>
      <c r="K555" s="320"/>
      <c r="L555" s="320"/>
      <c r="M555" s="320"/>
      <c r="N555" s="320"/>
      <c r="O555" s="321"/>
      <c r="P555" s="321"/>
      <c r="Y555" s="326"/>
      <c r="Z555" s="326"/>
      <c r="AA555" s="326"/>
      <c r="AB555" s="326"/>
      <c r="AC555" s="326"/>
      <c r="AD555" s="326"/>
      <c r="AG555" s="326"/>
      <c r="AH555" s="326"/>
      <c r="AI555" s="326"/>
      <c r="AL555" s="326"/>
      <c r="AM555" s="326"/>
      <c r="AN555" s="326"/>
    </row>
    <row r="556" spans="1:40" x14ac:dyDescent="0.15">
      <c r="A556" s="318"/>
      <c r="B556" s="320"/>
      <c r="C556" s="320"/>
      <c r="D556" s="320"/>
      <c r="E556" s="320"/>
      <c r="F556" s="320"/>
      <c r="G556" s="320"/>
      <c r="H556" s="320"/>
      <c r="I556" s="320"/>
      <c r="J556" s="320"/>
      <c r="K556" s="320"/>
      <c r="L556" s="320"/>
      <c r="M556" s="320"/>
      <c r="N556" s="320"/>
      <c r="O556" s="321"/>
      <c r="P556" s="321"/>
      <c r="Y556" s="326"/>
      <c r="Z556" s="326"/>
      <c r="AA556" s="326"/>
      <c r="AB556" s="326"/>
      <c r="AC556" s="326"/>
      <c r="AD556" s="326"/>
      <c r="AG556" s="326"/>
      <c r="AH556" s="326"/>
      <c r="AI556" s="326"/>
      <c r="AL556" s="326"/>
      <c r="AM556" s="326"/>
      <c r="AN556" s="326"/>
    </row>
    <row r="557" spans="1:40" x14ac:dyDescent="0.15">
      <c r="A557" s="318"/>
      <c r="B557" s="320"/>
      <c r="C557" s="320"/>
      <c r="D557" s="320"/>
      <c r="E557" s="320"/>
      <c r="F557" s="320"/>
      <c r="G557" s="320"/>
      <c r="H557" s="320"/>
      <c r="I557" s="320"/>
      <c r="J557" s="320"/>
      <c r="K557" s="320"/>
      <c r="L557" s="320"/>
      <c r="M557" s="320"/>
      <c r="N557" s="320"/>
      <c r="O557" s="321"/>
      <c r="P557" s="321"/>
      <c r="Y557" s="326"/>
      <c r="Z557" s="326"/>
      <c r="AA557" s="326"/>
      <c r="AB557" s="326"/>
      <c r="AC557" s="326"/>
      <c r="AD557" s="326"/>
      <c r="AG557" s="326"/>
      <c r="AH557" s="326"/>
      <c r="AI557" s="326"/>
      <c r="AL557" s="326"/>
      <c r="AM557" s="326"/>
      <c r="AN557" s="326"/>
    </row>
    <row r="558" spans="1:40" x14ac:dyDescent="0.15">
      <c r="A558" s="318"/>
      <c r="B558" s="320"/>
      <c r="C558" s="320"/>
      <c r="D558" s="320"/>
      <c r="E558" s="320"/>
      <c r="F558" s="320"/>
      <c r="G558" s="320"/>
      <c r="H558" s="320"/>
      <c r="I558" s="320"/>
      <c r="J558" s="320"/>
      <c r="K558" s="320"/>
      <c r="L558" s="320"/>
      <c r="M558" s="320"/>
      <c r="N558" s="320"/>
      <c r="O558" s="321"/>
      <c r="P558" s="321"/>
      <c r="Y558" s="326"/>
      <c r="Z558" s="326"/>
      <c r="AA558" s="326"/>
      <c r="AB558" s="326"/>
      <c r="AC558" s="326"/>
      <c r="AD558" s="326"/>
      <c r="AG558" s="326"/>
      <c r="AH558" s="326"/>
      <c r="AI558" s="326"/>
      <c r="AL558" s="326"/>
      <c r="AM558" s="326"/>
      <c r="AN558" s="326"/>
    </row>
    <row r="559" spans="1:40" x14ac:dyDescent="0.15">
      <c r="A559" s="318"/>
      <c r="B559" s="320"/>
      <c r="C559" s="320"/>
      <c r="D559" s="320"/>
      <c r="E559" s="320"/>
      <c r="F559" s="320"/>
      <c r="G559" s="320"/>
      <c r="H559" s="320"/>
      <c r="I559" s="320"/>
      <c r="J559" s="320"/>
      <c r="K559" s="320"/>
      <c r="L559" s="320"/>
      <c r="M559" s="320"/>
      <c r="N559" s="320"/>
      <c r="O559" s="321"/>
      <c r="P559" s="321"/>
      <c r="Y559" s="326"/>
      <c r="Z559" s="326"/>
      <c r="AA559" s="326"/>
      <c r="AB559" s="326"/>
      <c r="AC559" s="326"/>
      <c r="AD559" s="326"/>
      <c r="AG559" s="326"/>
      <c r="AH559" s="326"/>
      <c r="AI559" s="326"/>
      <c r="AL559" s="326"/>
      <c r="AM559" s="326"/>
      <c r="AN559" s="326"/>
    </row>
    <row r="560" spans="1:40" x14ac:dyDescent="0.15">
      <c r="A560" s="318"/>
      <c r="B560" s="320"/>
      <c r="C560" s="320"/>
      <c r="D560" s="320"/>
      <c r="E560" s="320"/>
      <c r="F560" s="320"/>
      <c r="G560" s="320"/>
      <c r="H560" s="320"/>
      <c r="I560" s="320"/>
      <c r="J560" s="320"/>
      <c r="K560" s="320"/>
      <c r="L560" s="320"/>
      <c r="M560" s="320"/>
      <c r="N560" s="320"/>
      <c r="O560" s="321"/>
      <c r="P560" s="321"/>
      <c r="Y560" s="326"/>
      <c r="Z560" s="326"/>
      <c r="AA560" s="326"/>
      <c r="AB560" s="326"/>
      <c r="AC560" s="326"/>
      <c r="AD560" s="326"/>
      <c r="AG560" s="326"/>
      <c r="AH560" s="326"/>
      <c r="AI560" s="326"/>
      <c r="AL560" s="326"/>
      <c r="AM560" s="326"/>
      <c r="AN560" s="326"/>
    </row>
    <row r="561" spans="1:40" x14ac:dyDescent="0.15">
      <c r="A561" s="318"/>
      <c r="B561" s="320"/>
      <c r="C561" s="320"/>
      <c r="D561" s="320"/>
      <c r="E561" s="320"/>
      <c r="F561" s="320"/>
      <c r="G561" s="320"/>
      <c r="H561" s="320"/>
      <c r="I561" s="320"/>
      <c r="J561" s="320"/>
      <c r="K561" s="320"/>
      <c r="L561" s="320"/>
      <c r="M561" s="320"/>
      <c r="N561" s="320"/>
      <c r="O561" s="321"/>
      <c r="P561" s="321"/>
      <c r="Y561" s="326"/>
      <c r="Z561" s="326"/>
      <c r="AA561" s="326"/>
      <c r="AB561" s="326"/>
      <c r="AC561" s="326"/>
      <c r="AD561" s="326"/>
      <c r="AG561" s="326"/>
      <c r="AH561" s="326"/>
      <c r="AI561" s="326"/>
      <c r="AL561" s="326"/>
      <c r="AM561" s="326"/>
      <c r="AN561" s="326"/>
    </row>
    <row r="562" spans="1:40" x14ac:dyDescent="0.15">
      <c r="A562" s="318"/>
      <c r="B562" s="320"/>
      <c r="C562" s="320"/>
      <c r="D562" s="320"/>
      <c r="E562" s="320"/>
      <c r="F562" s="320"/>
      <c r="G562" s="320"/>
      <c r="H562" s="320"/>
      <c r="I562" s="320"/>
      <c r="J562" s="320"/>
      <c r="K562" s="320"/>
      <c r="L562" s="320"/>
      <c r="M562" s="320"/>
      <c r="N562" s="320"/>
      <c r="O562" s="321"/>
      <c r="P562" s="321"/>
      <c r="Y562" s="326"/>
      <c r="Z562" s="326"/>
      <c r="AA562" s="326"/>
      <c r="AB562" s="326"/>
      <c r="AC562" s="326"/>
      <c r="AD562" s="326"/>
      <c r="AG562" s="326"/>
      <c r="AH562" s="326"/>
      <c r="AI562" s="326"/>
      <c r="AL562" s="326"/>
      <c r="AM562" s="326"/>
      <c r="AN562" s="326"/>
    </row>
    <row r="563" spans="1:40" x14ac:dyDescent="0.15">
      <c r="A563" s="318"/>
      <c r="B563" s="320"/>
      <c r="C563" s="320"/>
      <c r="D563" s="320"/>
      <c r="E563" s="320"/>
      <c r="F563" s="320"/>
      <c r="G563" s="320"/>
      <c r="H563" s="320"/>
      <c r="I563" s="320"/>
      <c r="J563" s="320"/>
      <c r="K563" s="320"/>
      <c r="L563" s="320"/>
      <c r="M563" s="320"/>
      <c r="N563" s="320"/>
      <c r="O563" s="321"/>
      <c r="P563" s="321"/>
      <c r="Y563" s="326"/>
      <c r="Z563" s="326"/>
      <c r="AA563" s="326"/>
      <c r="AB563" s="326"/>
      <c r="AC563" s="326"/>
      <c r="AD563" s="326"/>
      <c r="AG563" s="326"/>
      <c r="AH563" s="326"/>
      <c r="AI563" s="326"/>
      <c r="AL563" s="326"/>
      <c r="AM563" s="326"/>
      <c r="AN563" s="326"/>
    </row>
    <row r="564" spans="1:40" x14ac:dyDescent="0.15">
      <c r="A564" s="318"/>
      <c r="B564" s="320"/>
      <c r="C564" s="320"/>
      <c r="D564" s="320"/>
      <c r="E564" s="320"/>
      <c r="F564" s="320"/>
      <c r="G564" s="320"/>
      <c r="H564" s="320"/>
      <c r="I564" s="320"/>
      <c r="J564" s="320"/>
      <c r="K564" s="320"/>
      <c r="L564" s="320"/>
      <c r="M564" s="320"/>
      <c r="N564" s="320"/>
      <c r="O564" s="321"/>
      <c r="P564" s="321"/>
      <c r="Y564" s="326"/>
      <c r="Z564" s="326"/>
      <c r="AA564" s="326"/>
      <c r="AB564" s="326"/>
      <c r="AC564" s="326"/>
      <c r="AD564" s="326"/>
      <c r="AG564" s="326"/>
      <c r="AH564" s="326"/>
      <c r="AI564" s="326"/>
      <c r="AL564" s="326"/>
      <c r="AM564" s="326"/>
      <c r="AN564" s="326"/>
    </row>
    <row r="565" spans="1:40" x14ac:dyDescent="0.15">
      <c r="A565" s="318"/>
      <c r="B565" s="320"/>
      <c r="C565" s="320"/>
      <c r="D565" s="320"/>
      <c r="E565" s="320"/>
      <c r="F565" s="320"/>
      <c r="G565" s="320"/>
      <c r="H565" s="320"/>
      <c r="I565" s="320"/>
      <c r="J565" s="320"/>
      <c r="K565" s="320"/>
      <c r="L565" s="320"/>
      <c r="M565" s="320"/>
      <c r="N565" s="320"/>
      <c r="O565" s="321"/>
      <c r="P565" s="321"/>
      <c r="Y565" s="326"/>
      <c r="Z565" s="326"/>
      <c r="AA565" s="326"/>
      <c r="AB565" s="326"/>
      <c r="AC565" s="326"/>
      <c r="AD565" s="326"/>
      <c r="AG565" s="326"/>
      <c r="AH565" s="326"/>
      <c r="AI565" s="326"/>
      <c r="AL565" s="326"/>
      <c r="AM565" s="326"/>
      <c r="AN565" s="326"/>
    </row>
    <row r="566" spans="1:40" x14ac:dyDescent="0.15">
      <c r="A566" s="318"/>
      <c r="B566" s="320"/>
      <c r="C566" s="320"/>
      <c r="D566" s="320"/>
      <c r="E566" s="320"/>
      <c r="F566" s="320"/>
      <c r="G566" s="320"/>
      <c r="H566" s="320"/>
      <c r="I566" s="320"/>
      <c r="J566" s="320"/>
      <c r="K566" s="320"/>
      <c r="L566" s="320"/>
      <c r="M566" s="320"/>
      <c r="N566" s="320"/>
      <c r="O566" s="321"/>
      <c r="P566" s="321"/>
      <c r="Y566" s="326"/>
      <c r="Z566" s="326"/>
      <c r="AA566" s="326"/>
      <c r="AB566" s="326"/>
      <c r="AC566" s="326"/>
      <c r="AD566" s="326"/>
      <c r="AG566" s="326"/>
      <c r="AH566" s="326"/>
      <c r="AI566" s="326"/>
      <c r="AL566" s="326"/>
      <c r="AM566" s="326"/>
      <c r="AN566" s="326"/>
    </row>
    <row r="567" spans="1:40" x14ac:dyDescent="0.15">
      <c r="A567" s="318"/>
      <c r="B567" s="320"/>
      <c r="C567" s="320"/>
      <c r="D567" s="320"/>
      <c r="E567" s="320"/>
      <c r="F567" s="320"/>
      <c r="G567" s="320"/>
      <c r="H567" s="320"/>
      <c r="I567" s="320"/>
      <c r="J567" s="320"/>
      <c r="K567" s="320"/>
      <c r="L567" s="320"/>
      <c r="M567" s="320"/>
      <c r="N567" s="320"/>
      <c r="O567" s="321"/>
      <c r="P567" s="321"/>
      <c r="Y567" s="326"/>
      <c r="Z567" s="326"/>
      <c r="AA567" s="326"/>
      <c r="AB567" s="326"/>
      <c r="AC567" s="326"/>
      <c r="AD567" s="326"/>
      <c r="AG567" s="326"/>
      <c r="AH567" s="326"/>
      <c r="AI567" s="326"/>
      <c r="AL567" s="326"/>
      <c r="AM567" s="326"/>
      <c r="AN567" s="326"/>
    </row>
    <row r="568" spans="1:40" x14ac:dyDescent="0.15">
      <c r="A568" s="318"/>
      <c r="B568" s="320"/>
      <c r="C568" s="320"/>
      <c r="D568" s="320"/>
      <c r="E568" s="320"/>
      <c r="F568" s="320"/>
      <c r="G568" s="320"/>
      <c r="H568" s="320"/>
      <c r="I568" s="320"/>
      <c r="J568" s="320"/>
      <c r="K568" s="320"/>
      <c r="L568" s="320"/>
      <c r="M568" s="320"/>
      <c r="N568" s="320"/>
      <c r="O568" s="321"/>
      <c r="P568" s="321"/>
      <c r="Y568" s="326"/>
      <c r="Z568" s="326"/>
      <c r="AA568" s="326"/>
      <c r="AB568" s="326"/>
      <c r="AC568" s="326"/>
      <c r="AD568" s="326"/>
      <c r="AG568" s="326"/>
      <c r="AH568" s="326"/>
      <c r="AI568" s="326"/>
      <c r="AL568" s="326"/>
      <c r="AM568" s="326"/>
      <c r="AN568" s="326"/>
    </row>
    <row r="569" spans="1:40" x14ac:dyDescent="0.15">
      <c r="A569" s="318"/>
      <c r="B569" s="320"/>
      <c r="C569" s="320"/>
      <c r="D569" s="320"/>
      <c r="E569" s="320"/>
      <c r="F569" s="320"/>
      <c r="G569" s="320"/>
      <c r="H569" s="320"/>
      <c r="I569" s="320"/>
      <c r="J569" s="320"/>
      <c r="K569" s="320"/>
      <c r="L569" s="320"/>
      <c r="M569" s="320"/>
      <c r="N569" s="320"/>
      <c r="O569" s="321"/>
      <c r="P569" s="321"/>
      <c r="Y569" s="326"/>
      <c r="Z569" s="326"/>
      <c r="AA569" s="326"/>
      <c r="AB569" s="326"/>
      <c r="AC569" s="326"/>
      <c r="AD569" s="326"/>
      <c r="AG569" s="326"/>
      <c r="AH569" s="326"/>
      <c r="AI569" s="326"/>
      <c r="AL569" s="326"/>
      <c r="AM569" s="326"/>
      <c r="AN569" s="326"/>
    </row>
    <row r="570" spans="1:40" x14ac:dyDescent="0.15">
      <c r="A570" s="318"/>
      <c r="B570" s="320"/>
      <c r="C570" s="320"/>
      <c r="D570" s="320"/>
      <c r="E570" s="320"/>
      <c r="F570" s="320"/>
      <c r="G570" s="320"/>
      <c r="H570" s="320"/>
      <c r="I570" s="320"/>
      <c r="J570" s="320"/>
      <c r="K570" s="320"/>
      <c r="L570" s="320"/>
      <c r="M570" s="320"/>
      <c r="N570" s="320"/>
      <c r="O570" s="321"/>
      <c r="P570" s="321"/>
      <c r="Y570" s="326"/>
      <c r="Z570" s="326"/>
      <c r="AA570" s="326"/>
      <c r="AB570" s="326"/>
      <c r="AC570" s="326"/>
      <c r="AD570" s="326"/>
      <c r="AG570" s="326"/>
      <c r="AH570" s="326"/>
      <c r="AI570" s="326"/>
      <c r="AL570" s="326"/>
      <c r="AM570" s="326"/>
      <c r="AN570" s="326"/>
    </row>
    <row r="571" spans="1:40" x14ac:dyDescent="0.15">
      <c r="A571" s="318"/>
      <c r="B571" s="320"/>
      <c r="C571" s="320"/>
      <c r="D571" s="320"/>
      <c r="E571" s="320"/>
      <c r="F571" s="320"/>
      <c r="G571" s="320"/>
      <c r="H571" s="320"/>
      <c r="I571" s="320"/>
      <c r="J571" s="320"/>
      <c r="K571" s="320"/>
      <c r="L571" s="320"/>
      <c r="M571" s="320"/>
      <c r="N571" s="320"/>
      <c r="O571" s="321"/>
      <c r="P571" s="321"/>
      <c r="Y571" s="326"/>
      <c r="Z571" s="326"/>
      <c r="AA571" s="326"/>
      <c r="AB571" s="326"/>
      <c r="AC571" s="326"/>
      <c r="AD571" s="326"/>
      <c r="AG571" s="326"/>
      <c r="AH571" s="326"/>
      <c r="AI571" s="326"/>
      <c r="AL571" s="326"/>
      <c r="AM571" s="326"/>
      <c r="AN571" s="326"/>
    </row>
    <row r="572" spans="1:40" x14ac:dyDescent="0.15">
      <c r="A572" s="318"/>
      <c r="B572" s="320"/>
      <c r="C572" s="320"/>
      <c r="D572" s="320"/>
      <c r="E572" s="320"/>
      <c r="F572" s="320"/>
      <c r="G572" s="320"/>
      <c r="H572" s="320"/>
      <c r="I572" s="320"/>
      <c r="J572" s="320"/>
      <c r="K572" s="320"/>
      <c r="L572" s="320"/>
      <c r="M572" s="320"/>
      <c r="N572" s="320"/>
      <c r="O572" s="321"/>
      <c r="P572" s="321"/>
      <c r="Y572" s="326"/>
      <c r="Z572" s="326"/>
      <c r="AA572" s="326"/>
      <c r="AB572" s="326"/>
      <c r="AC572" s="326"/>
      <c r="AD572" s="326"/>
      <c r="AG572" s="326"/>
      <c r="AH572" s="326"/>
      <c r="AI572" s="326"/>
      <c r="AL572" s="326"/>
      <c r="AM572" s="326"/>
      <c r="AN572" s="326"/>
    </row>
    <row r="573" spans="1:40" x14ac:dyDescent="0.15">
      <c r="A573" s="318"/>
      <c r="B573" s="320"/>
      <c r="C573" s="320"/>
      <c r="D573" s="320"/>
      <c r="E573" s="320"/>
      <c r="F573" s="320"/>
      <c r="G573" s="320"/>
      <c r="H573" s="320"/>
      <c r="I573" s="320"/>
      <c r="J573" s="320"/>
      <c r="K573" s="320"/>
      <c r="L573" s="320"/>
      <c r="M573" s="320"/>
      <c r="N573" s="320"/>
      <c r="O573" s="321"/>
      <c r="P573" s="321"/>
      <c r="Y573" s="326"/>
      <c r="Z573" s="326"/>
      <c r="AA573" s="326"/>
      <c r="AB573" s="326"/>
      <c r="AC573" s="326"/>
      <c r="AD573" s="326"/>
      <c r="AG573" s="326"/>
      <c r="AH573" s="326"/>
      <c r="AI573" s="326"/>
      <c r="AL573" s="326"/>
      <c r="AM573" s="326"/>
      <c r="AN573" s="326"/>
    </row>
    <row r="574" spans="1:40" x14ac:dyDescent="0.15">
      <c r="A574" s="318"/>
      <c r="B574" s="320"/>
      <c r="C574" s="320"/>
      <c r="D574" s="320"/>
      <c r="E574" s="320"/>
      <c r="F574" s="320"/>
      <c r="G574" s="320"/>
      <c r="H574" s="320"/>
      <c r="I574" s="320"/>
      <c r="J574" s="320"/>
      <c r="K574" s="320"/>
      <c r="L574" s="320"/>
      <c r="M574" s="320"/>
      <c r="N574" s="320"/>
      <c r="O574" s="321"/>
      <c r="P574" s="321"/>
      <c r="Y574" s="326"/>
      <c r="Z574" s="326"/>
      <c r="AA574" s="326"/>
      <c r="AB574" s="326"/>
      <c r="AC574" s="326"/>
      <c r="AD574" s="326"/>
      <c r="AG574" s="326"/>
      <c r="AH574" s="326"/>
      <c r="AI574" s="326"/>
      <c r="AL574" s="326"/>
      <c r="AM574" s="326"/>
      <c r="AN574" s="326"/>
    </row>
    <row r="575" spans="1:40" x14ac:dyDescent="0.15">
      <c r="A575" s="318"/>
      <c r="B575" s="320"/>
      <c r="C575" s="320"/>
      <c r="D575" s="320"/>
      <c r="E575" s="320"/>
      <c r="F575" s="320"/>
      <c r="G575" s="320"/>
      <c r="H575" s="320"/>
      <c r="I575" s="320"/>
      <c r="J575" s="320"/>
      <c r="K575" s="320"/>
      <c r="L575" s="320"/>
      <c r="M575" s="320"/>
      <c r="N575" s="320"/>
      <c r="O575" s="321"/>
      <c r="P575" s="321"/>
      <c r="Y575" s="326"/>
      <c r="Z575" s="326"/>
      <c r="AA575" s="326"/>
      <c r="AB575" s="326"/>
      <c r="AC575" s="326"/>
      <c r="AD575" s="326"/>
      <c r="AG575" s="326"/>
      <c r="AH575" s="326"/>
      <c r="AI575" s="326"/>
      <c r="AL575" s="326"/>
      <c r="AM575" s="326"/>
      <c r="AN575" s="326"/>
    </row>
    <row r="576" spans="1:40" x14ac:dyDescent="0.15">
      <c r="A576" s="318"/>
      <c r="B576" s="320"/>
      <c r="C576" s="320"/>
      <c r="D576" s="320"/>
      <c r="E576" s="320"/>
      <c r="F576" s="320"/>
      <c r="G576" s="320"/>
      <c r="H576" s="320"/>
      <c r="I576" s="320"/>
      <c r="J576" s="320"/>
      <c r="K576" s="320"/>
      <c r="L576" s="320"/>
      <c r="M576" s="320"/>
      <c r="N576" s="320"/>
      <c r="O576" s="321"/>
      <c r="P576" s="321"/>
      <c r="Y576" s="326"/>
      <c r="Z576" s="326"/>
      <c r="AA576" s="326"/>
      <c r="AB576" s="326"/>
      <c r="AC576" s="326"/>
      <c r="AD576" s="326"/>
      <c r="AG576" s="326"/>
      <c r="AH576" s="326"/>
      <c r="AI576" s="326"/>
      <c r="AL576" s="326"/>
      <c r="AM576" s="326"/>
      <c r="AN576" s="326"/>
    </row>
    <row r="577" spans="1:40" x14ac:dyDescent="0.15">
      <c r="A577" s="318"/>
      <c r="B577" s="320"/>
      <c r="C577" s="320"/>
      <c r="D577" s="320"/>
      <c r="E577" s="320"/>
      <c r="F577" s="320"/>
      <c r="G577" s="320"/>
      <c r="H577" s="320"/>
      <c r="I577" s="320"/>
      <c r="J577" s="320"/>
      <c r="K577" s="320"/>
      <c r="L577" s="320"/>
      <c r="M577" s="320"/>
      <c r="N577" s="320"/>
      <c r="O577" s="321"/>
      <c r="P577" s="321"/>
      <c r="Y577" s="326"/>
      <c r="Z577" s="326"/>
      <c r="AA577" s="326"/>
      <c r="AB577" s="326"/>
      <c r="AC577" s="326"/>
      <c r="AD577" s="326"/>
      <c r="AG577" s="326"/>
      <c r="AH577" s="326"/>
      <c r="AI577" s="326"/>
      <c r="AL577" s="326"/>
      <c r="AM577" s="326"/>
      <c r="AN577" s="326"/>
    </row>
    <row r="578" spans="1:40" x14ac:dyDescent="0.15">
      <c r="A578" s="318"/>
      <c r="B578" s="320"/>
      <c r="C578" s="320"/>
      <c r="D578" s="320"/>
      <c r="E578" s="320"/>
      <c r="F578" s="320"/>
      <c r="G578" s="320"/>
      <c r="H578" s="320"/>
      <c r="I578" s="320"/>
      <c r="J578" s="320"/>
      <c r="K578" s="320"/>
      <c r="L578" s="320"/>
      <c r="M578" s="320"/>
      <c r="N578" s="320"/>
      <c r="O578" s="321"/>
      <c r="P578" s="321"/>
      <c r="Y578" s="326"/>
      <c r="Z578" s="326"/>
      <c r="AA578" s="326"/>
      <c r="AB578" s="326"/>
      <c r="AC578" s="326"/>
      <c r="AD578" s="326"/>
      <c r="AG578" s="326"/>
      <c r="AH578" s="326"/>
      <c r="AI578" s="326"/>
      <c r="AL578" s="326"/>
      <c r="AM578" s="326"/>
      <c r="AN578" s="326"/>
    </row>
    <row r="579" spans="1:40" x14ac:dyDescent="0.15">
      <c r="A579" s="318"/>
      <c r="B579" s="320"/>
      <c r="C579" s="320"/>
      <c r="D579" s="320"/>
      <c r="E579" s="320"/>
      <c r="F579" s="320"/>
      <c r="G579" s="320"/>
      <c r="H579" s="320"/>
      <c r="I579" s="320"/>
      <c r="J579" s="320"/>
      <c r="K579" s="320"/>
      <c r="L579" s="320"/>
      <c r="M579" s="320"/>
      <c r="N579" s="320"/>
      <c r="O579" s="321"/>
      <c r="P579" s="321"/>
      <c r="Y579" s="326"/>
      <c r="Z579" s="326"/>
      <c r="AA579" s="326"/>
      <c r="AB579" s="326"/>
      <c r="AC579" s="326"/>
      <c r="AD579" s="326"/>
      <c r="AG579" s="326"/>
      <c r="AH579" s="326"/>
      <c r="AI579" s="326"/>
      <c r="AL579" s="326"/>
      <c r="AM579" s="326"/>
      <c r="AN579" s="326"/>
    </row>
    <row r="580" spans="1:40" x14ac:dyDescent="0.15">
      <c r="A580" s="318"/>
      <c r="B580" s="320"/>
      <c r="C580" s="320"/>
      <c r="D580" s="320"/>
      <c r="E580" s="320"/>
      <c r="F580" s="320"/>
      <c r="G580" s="320"/>
      <c r="H580" s="320"/>
      <c r="I580" s="320"/>
      <c r="J580" s="320"/>
      <c r="K580" s="320"/>
      <c r="L580" s="320"/>
      <c r="M580" s="320"/>
      <c r="N580" s="320"/>
      <c r="O580" s="321"/>
      <c r="P580" s="321"/>
      <c r="Y580" s="326"/>
      <c r="Z580" s="326"/>
      <c r="AA580" s="326"/>
      <c r="AB580" s="326"/>
      <c r="AC580" s="326"/>
      <c r="AD580" s="326"/>
      <c r="AG580" s="326"/>
      <c r="AH580" s="326"/>
      <c r="AI580" s="326"/>
      <c r="AL580" s="326"/>
      <c r="AM580" s="326"/>
      <c r="AN580" s="326"/>
    </row>
    <row r="581" spans="1:40" x14ac:dyDescent="0.15">
      <c r="A581" s="318"/>
      <c r="B581" s="320"/>
      <c r="C581" s="320"/>
      <c r="D581" s="320"/>
      <c r="E581" s="320"/>
      <c r="F581" s="320"/>
      <c r="G581" s="320"/>
      <c r="H581" s="320"/>
      <c r="I581" s="320"/>
      <c r="J581" s="320"/>
      <c r="K581" s="320"/>
      <c r="L581" s="320"/>
      <c r="M581" s="320"/>
      <c r="N581" s="320"/>
      <c r="O581" s="321"/>
      <c r="P581" s="321"/>
      <c r="Y581" s="326"/>
      <c r="Z581" s="326"/>
      <c r="AA581" s="326"/>
      <c r="AB581" s="326"/>
      <c r="AC581" s="326"/>
      <c r="AD581" s="326"/>
      <c r="AG581" s="326"/>
      <c r="AH581" s="326"/>
      <c r="AI581" s="326"/>
      <c r="AL581" s="326"/>
      <c r="AM581" s="326"/>
      <c r="AN581" s="326"/>
    </row>
    <row r="582" spans="1:40" x14ac:dyDescent="0.15">
      <c r="A582" s="318"/>
      <c r="B582" s="320"/>
      <c r="C582" s="320"/>
      <c r="D582" s="320"/>
      <c r="E582" s="320"/>
      <c r="F582" s="320"/>
      <c r="G582" s="320"/>
      <c r="H582" s="320"/>
      <c r="I582" s="320"/>
      <c r="J582" s="320"/>
      <c r="K582" s="320"/>
      <c r="L582" s="320"/>
      <c r="M582" s="320"/>
      <c r="N582" s="320"/>
      <c r="O582" s="321"/>
      <c r="P582" s="321"/>
      <c r="Y582" s="326"/>
      <c r="Z582" s="326"/>
      <c r="AA582" s="326"/>
      <c r="AB582" s="326"/>
      <c r="AC582" s="326"/>
      <c r="AD582" s="326"/>
      <c r="AG582" s="326"/>
      <c r="AH582" s="326"/>
      <c r="AI582" s="326"/>
      <c r="AL582" s="326"/>
      <c r="AM582" s="326"/>
      <c r="AN582" s="326"/>
    </row>
    <row r="583" spans="1:40" x14ac:dyDescent="0.15">
      <c r="A583" s="318"/>
      <c r="B583" s="320"/>
      <c r="C583" s="320"/>
      <c r="D583" s="320"/>
      <c r="E583" s="320"/>
      <c r="F583" s="320"/>
      <c r="G583" s="320"/>
      <c r="H583" s="320"/>
      <c r="I583" s="320"/>
      <c r="J583" s="320"/>
      <c r="K583" s="320"/>
      <c r="L583" s="320"/>
      <c r="M583" s="320"/>
      <c r="N583" s="320"/>
      <c r="O583" s="321"/>
      <c r="P583" s="321"/>
      <c r="Y583" s="326"/>
      <c r="Z583" s="326"/>
      <c r="AA583" s="326"/>
      <c r="AB583" s="326"/>
      <c r="AC583" s="326"/>
      <c r="AD583" s="326"/>
      <c r="AG583" s="326"/>
      <c r="AH583" s="326"/>
      <c r="AI583" s="326"/>
      <c r="AL583" s="326"/>
      <c r="AM583" s="326"/>
      <c r="AN583" s="326"/>
    </row>
    <row r="584" spans="1:40" x14ac:dyDescent="0.15">
      <c r="A584" s="318"/>
      <c r="B584" s="320"/>
      <c r="C584" s="320"/>
      <c r="D584" s="320"/>
      <c r="E584" s="320"/>
      <c r="F584" s="320"/>
      <c r="G584" s="320"/>
      <c r="H584" s="320"/>
      <c r="I584" s="320"/>
      <c r="J584" s="320"/>
      <c r="K584" s="320"/>
      <c r="L584" s="320"/>
      <c r="M584" s="320"/>
      <c r="N584" s="320"/>
      <c r="O584" s="321"/>
      <c r="P584" s="321"/>
      <c r="Y584" s="326"/>
      <c r="Z584" s="326"/>
      <c r="AA584" s="326"/>
      <c r="AB584" s="326"/>
      <c r="AC584" s="326"/>
      <c r="AD584" s="326"/>
      <c r="AG584" s="326"/>
      <c r="AH584" s="326"/>
      <c r="AI584" s="326"/>
      <c r="AL584" s="326"/>
      <c r="AM584" s="326"/>
      <c r="AN584" s="326"/>
    </row>
    <row r="585" spans="1:40" x14ac:dyDescent="0.15">
      <c r="A585" s="318"/>
      <c r="B585" s="320"/>
      <c r="C585" s="320"/>
      <c r="D585" s="320"/>
      <c r="E585" s="320"/>
      <c r="F585" s="320"/>
      <c r="G585" s="320"/>
      <c r="H585" s="320"/>
      <c r="I585" s="320"/>
      <c r="J585" s="320"/>
      <c r="K585" s="320"/>
      <c r="L585" s="320"/>
      <c r="M585" s="320"/>
      <c r="N585" s="320"/>
      <c r="O585" s="321"/>
      <c r="P585" s="321"/>
      <c r="Y585" s="326"/>
      <c r="Z585" s="326"/>
      <c r="AA585" s="326"/>
      <c r="AB585" s="326"/>
      <c r="AC585" s="326"/>
      <c r="AD585" s="326"/>
      <c r="AG585" s="326"/>
      <c r="AH585" s="326"/>
      <c r="AI585" s="326"/>
      <c r="AL585" s="326"/>
      <c r="AM585" s="326"/>
      <c r="AN585" s="326"/>
    </row>
    <row r="586" spans="1:40" x14ac:dyDescent="0.15">
      <c r="A586" s="318"/>
      <c r="B586" s="320"/>
      <c r="C586" s="320"/>
      <c r="D586" s="320"/>
      <c r="E586" s="320"/>
      <c r="F586" s="320"/>
      <c r="G586" s="320"/>
      <c r="H586" s="320"/>
      <c r="I586" s="320"/>
      <c r="J586" s="320"/>
      <c r="K586" s="320"/>
      <c r="L586" s="320"/>
      <c r="M586" s="320"/>
      <c r="N586" s="320"/>
      <c r="O586" s="321"/>
      <c r="P586" s="321"/>
      <c r="Y586" s="326"/>
      <c r="Z586" s="326"/>
      <c r="AA586" s="326"/>
      <c r="AB586" s="326"/>
      <c r="AC586" s="326"/>
      <c r="AD586" s="326"/>
      <c r="AG586" s="326"/>
      <c r="AH586" s="326"/>
      <c r="AI586" s="326"/>
      <c r="AL586" s="326"/>
      <c r="AM586" s="326"/>
      <c r="AN586" s="326"/>
    </row>
    <row r="587" spans="1:40" x14ac:dyDescent="0.15">
      <c r="A587" s="318"/>
      <c r="B587" s="320"/>
      <c r="C587" s="320"/>
      <c r="D587" s="320"/>
      <c r="E587" s="320"/>
      <c r="F587" s="320"/>
      <c r="G587" s="320"/>
      <c r="H587" s="320"/>
      <c r="I587" s="320"/>
      <c r="J587" s="320"/>
      <c r="K587" s="320"/>
      <c r="L587" s="320"/>
      <c r="M587" s="320"/>
      <c r="N587" s="320"/>
      <c r="O587" s="321"/>
      <c r="P587" s="321"/>
      <c r="Y587" s="326"/>
      <c r="Z587" s="326"/>
      <c r="AA587" s="326"/>
      <c r="AB587" s="326"/>
      <c r="AC587" s="326"/>
      <c r="AD587" s="326"/>
      <c r="AG587" s="326"/>
      <c r="AH587" s="326"/>
      <c r="AI587" s="326"/>
      <c r="AL587" s="326"/>
      <c r="AM587" s="326"/>
      <c r="AN587" s="326"/>
    </row>
    <row r="588" spans="1:40" x14ac:dyDescent="0.15">
      <c r="A588" s="318"/>
      <c r="B588" s="320"/>
      <c r="C588" s="320"/>
      <c r="D588" s="320"/>
      <c r="E588" s="320"/>
      <c r="F588" s="320"/>
      <c r="G588" s="320"/>
      <c r="H588" s="320"/>
      <c r="I588" s="320"/>
      <c r="J588" s="320"/>
      <c r="K588" s="320"/>
      <c r="L588" s="320"/>
      <c r="M588" s="320"/>
      <c r="N588" s="320"/>
      <c r="O588" s="321"/>
      <c r="P588" s="321"/>
      <c r="Y588" s="326"/>
      <c r="Z588" s="326"/>
      <c r="AA588" s="326"/>
      <c r="AB588" s="326"/>
      <c r="AC588" s="326"/>
      <c r="AD588" s="326"/>
      <c r="AG588" s="326"/>
      <c r="AH588" s="326"/>
      <c r="AI588" s="326"/>
      <c r="AL588" s="326"/>
      <c r="AM588" s="326"/>
      <c r="AN588" s="326"/>
    </row>
    <row r="589" spans="1:40" x14ac:dyDescent="0.15">
      <c r="A589" s="318"/>
      <c r="B589" s="320"/>
      <c r="C589" s="320"/>
      <c r="D589" s="320"/>
      <c r="E589" s="320"/>
      <c r="F589" s="320"/>
      <c r="G589" s="320"/>
      <c r="H589" s="320"/>
      <c r="I589" s="320"/>
      <c r="J589" s="320"/>
      <c r="K589" s="320"/>
      <c r="L589" s="320"/>
      <c r="M589" s="320"/>
      <c r="N589" s="320"/>
      <c r="O589" s="321"/>
      <c r="P589" s="321"/>
      <c r="Y589" s="326"/>
      <c r="Z589" s="326"/>
      <c r="AA589" s="326"/>
      <c r="AB589" s="326"/>
      <c r="AC589" s="326"/>
      <c r="AD589" s="326"/>
      <c r="AG589" s="326"/>
      <c r="AH589" s="326"/>
      <c r="AI589" s="326"/>
      <c r="AL589" s="326"/>
      <c r="AM589" s="326"/>
      <c r="AN589" s="326"/>
    </row>
    <row r="590" spans="1:40" x14ac:dyDescent="0.15">
      <c r="A590" s="318"/>
      <c r="B590" s="320"/>
      <c r="C590" s="320"/>
      <c r="D590" s="320"/>
      <c r="E590" s="320"/>
      <c r="F590" s="320"/>
      <c r="G590" s="320"/>
      <c r="H590" s="320"/>
      <c r="I590" s="320"/>
      <c r="J590" s="320"/>
      <c r="K590" s="320"/>
      <c r="L590" s="320"/>
      <c r="M590" s="320"/>
      <c r="N590" s="320"/>
      <c r="O590" s="321"/>
      <c r="P590" s="321"/>
      <c r="Y590" s="326"/>
      <c r="Z590" s="326"/>
      <c r="AA590" s="326"/>
      <c r="AB590" s="326"/>
      <c r="AC590" s="326"/>
      <c r="AD590" s="326"/>
      <c r="AG590" s="326"/>
      <c r="AH590" s="326"/>
      <c r="AI590" s="326"/>
      <c r="AL590" s="326"/>
      <c r="AM590" s="326"/>
      <c r="AN590" s="326"/>
    </row>
    <row r="591" spans="1:40" x14ac:dyDescent="0.15">
      <c r="A591" s="318"/>
      <c r="B591" s="320"/>
      <c r="C591" s="320"/>
      <c r="D591" s="320"/>
      <c r="E591" s="320"/>
      <c r="F591" s="320"/>
      <c r="G591" s="320"/>
      <c r="H591" s="320"/>
      <c r="I591" s="320"/>
      <c r="J591" s="320"/>
      <c r="K591" s="320"/>
      <c r="L591" s="320"/>
      <c r="M591" s="320"/>
      <c r="N591" s="320"/>
      <c r="O591" s="321"/>
      <c r="P591" s="321"/>
      <c r="Y591" s="326"/>
      <c r="Z591" s="326"/>
      <c r="AA591" s="326"/>
      <c r="AB591" s="326"/>
      <c r="AC591" s="326"/>
      <c r="AD591" s="326"/>
      <c r="AG591" s="326"/>
      <c r="AH591" s="326"/>
      <c r="AI591" s="326"/>
      <c r="AL591" s="326"/>
      <c r="AM591" s="326"/>
      <c r="AN591" s="326"/>
    </row>
    <row r="592" spans="1:40" x14ac:dyDescent="0.15">
      <c r="A592" s="318"/>
      <c r="B592" s="320"/>
      <c r="C592" s="320"/>
      <c r="D592" s="320"/>
      <c r="E592" s="320"/>
      <c r="F592" s="320"/>
      <c r="G592" s="320"/>
      <c r="H592" s="320"/>
      <c r="I592" s="320"/>
      <c r="J592" s="320"/>
      <c r="K592" s="320"/>
      <c r="L592" s="320"/>
      <c r="M592" s="320"/>
      <c r="N592" s="320"/>
      <c r="O592" s="321"/>
      <c r="P592" s="321"/>
      <c r="Y592" s="326"/>
      <c r="Z592" s="326"/>
      <c r="AA592" s="326"/>
      <c r="AB592" s="326"/>
      <c r="AC592" s="326"/>
      <c r="AD592" s="326"/>
      <c r="AG592" s="326"/>
      <c r="AH592" s="326"/>
      <c r="AI592" s="326"/>
      <c r="AL592" s="326"/>
      <c r="AM592" s="326"/>
      <c r="AN592" s="326"/>
    </row>
    <row r="593" spans="1:40" x14ac:dyDescent="0.15">
      <c r="A593" s="318"/>
      <c r="B593" s="320"/>
      <c r="C593" s="320"/>
      <c r="D593" s="320"/>
      <c r="E593" s="320"/>
      <c r="F593" s="320"/>
      <c r="G593" s="320"/>
      <c r="H593" s="320"/>
      <c r="I593" s="320"/>
      <c r="J593" s="320"/>
      <c r="K593" s="320"/>
      <c r="L593" s="320"/>
      <c r="M593" s="320"/>
      <c r="N593" s="320"/>
      <c r="O593" s="321"/>
      <c r="P593" s="321"/>
      <c r="Y593" s="326"/>
      <c r="Z593" s="326"/>
      <c r="AA593" s="326"/>
      <c r="AB593" s="326"/>
      <c r="AC593" s="326"/>
      <c r="AD593" s="326"/>
      <c r="AG593" s="326"/>
      <c r="AH593" s="326"/>
      <c r="AI593" s="326"/>
      <c r="AL593" s="326"/>
      <c r="AM593" s="326"/>
      <c r="AN593" s="326"/>
    </row>
    <row r="594" spans="1:40" x14ac:dyDescent="0.15">
      <c r="A594" s="318"/>
      <c r="B594" s="320"/>
      <c r="C594" s="320"/>
      <c r="D594" s="320"/>
      <c r="E594" s="320"/>
      <c r="F594" s="320"/>
      <c r="G594" s="320"/>
      <c r="H594" s="320"/>
      <c r="I594" s="320"/>
      <c r="J594" s="320"/>
      <c r="K594" s="320"/>
      <c r="L594" s="320"/>
      <c r="M594" s="320"/>
      <c r="N594" s="320"/>
      <c r="O594" s="321"/>
      <c r="P594" s="321"/>
      <c r="Y594" s="326"/>
      <c r="Z594" s="326"/>
      <c r="AA594" s="326"/>
      <c r="AB594" s="326"/>
      <c r="AC594" s="326"/>
      <c r="AD594" s="326"/>
      <c r="AG594" s="326"/>
      <c r="AH594" s="326"/>
      <c r="AI594" s="326"/>
      <c r="AL594" s="326"/>
      <c r="AM594" s="326"/>
      <c r="AN594" s="326"/>
    </row>
    <row r="595" spans="1:40" x14ac:dyDescent="0.15">
      <c r="A595" s="318"/>
      <c r="B595" s="320"/>
      <c r="C595" s="320"/>
      <c r="D595" s="320"/>
      <c r="E595" s="320"/>
      <c r="F595" s="320"/>
      <c r="G595" s="320"/>
      <c r="H595" s="320"/>
      <c r="I595" s="320"/>
      <c r="J595" s="320"/>
      <c r="K595" s="320"/>
      <c r="L595" s="320"/>
      <c r="M595" s="320"/>
      <c r="N595" s="320"/>
      <c r="O595" s="321"/>
      <c r="P595" s="321"/>
      <c r="Y595" s="326"/>
      <c r="Z595" s="326"/>
      <c r="AA595" s="326"/>
      <c r="AB595" s="326"/>
      <c r="AC595" s="326"/>
      <c r="AD595" s="326"/>
      <c r="AG595" s="326"/>
      <c r="AH595" s="326"/>
      <c r="AI595" s="326"/>
      <c r="AL595" s="326"/>
      <c r="AM595" s="326"/>
      <c r="AN595" s="326"/>
    </row>
    <row r="596" spans="1:40" x14ac:dyDescent="0.15">
      <c r="A596" s="318"/>
      <c r="B596" s="320"/>
      <c r="C596" s="320"/>
      <c r="D596" s="320"/>
      <c r="E596" s="320"/>
      <c r="F596" s="320"/>
      <c r="G596" s="320"/>
      <c r="H596" s="320"/>
      <c r="I596" s="320"/>
      <c r="J596" s="320"/>
      <c r="K596" s="320"/>
      <c r="L596" s="320"/>
      <c r="M596" s="320"/>
      <c r="N596" s="320"/>
      <c r="O596" s="321"/>
      <c r="P596" s="321"/>
      <c r="Y596" s="326"/>
      <c r="Z596" s="326"/>
      <c r="AA596" s="326"/>
      <c r="AB596" s="326"/>
      <c r="AC596" s="326"/>
      <c r="AD596" s="326"/>
      <c r="AG596" s="326"/>
      <c r="AH596" s="326"/>
      <c r="AI596" s="326"/>
      <c r="AL596" s="326"/>
      <c r="AM596" s="326"/>
      <c r="AN596" s="326"/>
    </row>
    <row r="597" spans="1:40" x14ac:dyDescent="0.15">
      <c r="A597" s="318"/>
      <c r="B597" s="320"/>
      <c r="C597" s="320"/>
      <c r="D597" s="320"/>
      <c r="E597" s="320"/>
      <c r="F597" s="320"/>
      <c r="G597" s="320"/>
      <c r="H597" s="320"/>
      <c r="I597" s="320"/>
      <c r="J597" s="320"/>
      <c r="K597" s="320"/>
      <c r="L597" s="320"/>
      <c r="M597" s="320"/>
      <c r="N597" s="320"/>
      <c r="O597" s="321"/>
      <c r="P597" s="321"/>
      <c r="Y597" s="326"/>
      <c r="Z597" s="326"/>
      <c r="AA597" s="326"/>
      <c r="AB597" s="326"/>
      <c r="AC597" s="326"/>
      <c r="AD597" s="326"/>
      <c r="AG597" s="326"/>
      <c r="AH597" s="326"/>
      <c r="AI597" s="326"/>
      <c r="AL597" s="326"/>
      <c r="AM597" s="326"/>
      <c r="AN597" s="326"/>
    </row>
    <row r="598" spans="1:40" x14ac:dyDescent="0.15">
      <c r="A598" s="318"/>
      <c r="B598" s="320"/>
      <c r="C598" s="320"/>
      <c r="D598" s="320"/>
      <c r="E598" s="320"/>
      <c r="F598" s="320"/>
      <c r="G598" s="320"/>
      <c r="H598" s="320"/>
      <c r="I598" s="320"/>
      <c r="J598" s="320"/>
      <c r="K598" s="320"/>
      <c r="L598" s="320"/>
      <c r="M598" s="320"/>
      <c r="N598" s="320"/>
      <c r="O598" s="321"/>
      <c r="P598" s="321"/>
      <c r="Y598" s="326"/>
      <c r="Z598" s="326"/>
      <c r="AA598" s="326"/>
      <c r="AB598" s="326"/>
      <c r="AC598" s="326"/>
      <c r="AD598" s="326"/>
      <c r="AG598" s="326"/>
      <c r="AH598" s="326"/>
      <c r="AI598" s="326"/>
      <c r="AL598" s="326"/>
      <c r="AM598" s="326"/>
      <c r="AN598" s="326"/>
    </row>
    <row r="599" spans="1:40" x14ac:dyDescent="0.15">
      <c r="A599" s="318"/>
      <c r="B599" s="320"/>
      <c r="C599" s="320"/>
      <c r="D599" s="320"/>
      <c r="E599" s="320"/>
      <c r="F599" s="320"/>
      <c r="G599" s="320"/>
      <c r="H599" s="320"/>
      <c r="I599" s="320"/>
      <c r="J599" s="320"/>
      <c r="K599" s="320"/>
      <c r="L599" s="320"/>
      <c r="M599" s="320"/>
      <c r="N599" s="320"/>
      <c r="O599" s="321"/>
      <c r="P599" s="321"/>
      <c r="Y599" s="326"/>
      <c r="Z599" s="326"/>
      <c r="AA599" s="326"/>
      <c r="AB599" s="326"/>
      <c r="AC599" s="326"/>
      <c r="AD599" s="326"/>
      <c r="AG599" s="326"/>
      <c r="AH599" s="326"/>
      <c r="AI599" s="326"/>
      <c r="AL599" s="326"/>
      <c r="AM599" s="326"/>
      <c r="AN599" s="326"/>
    </row>
    <row r="600" spans="1:40" x14ac:dyDescent="0.15">
      <c r="A600" s="318"/>
      <c r="B600" s="320"/>
      <c r="C600" s="320"/>
      <c r="D600" s="320"/>
      <c r="E600" s="320"/>
      <c r="F600" s="320"/>
      <c r="G600" s="320"/>
      <c r="H600" s="320"/>
      <c r="I600" s="320"/>
      <c r="J600" s="320"/>
      <c r="K600" s="320"/>
      <c r="L600" s="320"/>
      <c r="M600" s="320"/>
      <c r="N600" s="320"/>
      <c r="O600" s="321"/>
      <c r="P600" s="321"/>
      <c r="Y600" s="326"/>
      <c r="Z600" s="326"/>
      <c r="AA600" s="326"/>
      <c r="AB600" s="326"/>
      <c r="AC600" s="326"/>
      <c r="AD600" s="326"/>
      <c r="AG600" s="326"/>
      <c r="AH600" s="326"/>
      <c r="AI600" s="326"/>
      <c r="AL600" s="326"/>
      <c r="AM600" s="326"/>
      <c r="AN600" s="326"/>
    </row>
    <row r="601" spans="1:40" x14ac:dyDescent="0.15">
      <c r="A601" s="318"/>
      <c r="B601" s="320"/>
      <c r="C601" s="320"/>
      <c r="D601" s="320"/>
      <c r="E601" s="320"/>
      <c r="F601" s="320"/>
      <c r="G601" s="320"/>
      <c r="H601" s="320"/>
      <c r="I601" s="320"/>
      <c r="J601" s="320"/>
      <c r="K601" s="320"/>
      <c r="L601" s="320"/>
      <c r="M601" s="320"/>
      <c r="N601" s="320"/>
      <c r="O601" s="321"/>
      <c r="P601" s="321"/>
      <c r="Y601" s="326"/>
      <c r="Z601" s="326"/>
      <c r="AA601" s="326"/>
      <c r="AB601" s="326"/>
      <c r="AC601" s="326"/>
      <c r="AD601" s="326"/>
      <c r="AG601" s="326"/>
      <c r="AH601" s="326"/>
      <c r="AI601" s="326"/>
      <c r="AL601" s="326"/>
      <c r="AM601" s="326"/>
      <c r="AN601" s="326"/>
    </row>
    <row r="602" spans="1:40" x14ac:dyDescent="0.15">
      <c r="A602" s="318"/>
      <c r="B602" s="320"/>
      <c r="C602" s="320"/>
      <c r="D602" s="320"/>
      <c r="E602" s="320"/>
      <c r="F602" s="320"/>
      <c r="G602" s="320"/>
      <c r="H602" s="320"/>
      <c r="I602" s="320"/>
      <c r="J602" s="320"/>
      <c r="K602" s="320"/>
      <c r="L602" s="320"/>
      <c r="M602" s="320"/>
      <c r="N602" s="320"/>
      <c r="O602" s="321"/>
      <c r="P602" s="321"/>
      <c r="Y602" s="326"/>
      <c r="Z602" s="326"/>
      <c r="AA602" s="326"/>
      <c r="AB602" s="326"/>
      <c r="AC602" s="326"/>
      <c r="AD602" s="326"/>
      <c r="AG602" s="326"/>
      <c r="AH602" s="326"/>
      <c r="AI602" s="326"/>
      <c r="AL602" s="326"/>
      <c r="AM602" s="326"/>
      <c r="AN602" s="326"/>
    </row>
    <row r="603" spans="1:40" x14ac:dyDescent="0.15">
      <c r="A603" s="318"/>
      <c r="B603" s="320"/>
      <c r="C603" s="320"/>
      <c r="D603" s="320"/>
      <c r="E603" s="320"/>
      <c r="F603" s="320"/>
      <c r="G603" s="320"/>
      <c r="H603" s="320"/>
      <c r="I603" s="320"/>
      <c r="J603" s="320"/>
      <c r="K603" s="320"/>
      <c r="L603" s="320"/>
      <c r="M603" s="320"/>
      <c r="N603" s="320"/>
      <c r="O603" s="321"/>
      <c r="P603" s="321"/>
      <c r="Y603" s="326"/>
      <c r="Z603" s="326"/>
      <c r="AA603" s="326"/>
      <c r="AB603" s="326"/>
      <c r="AC603" s="326"/>
      <c r="AD603" s="326"/>
      <c r="AG603" s="326"/>
      <c r="AH603" s="326"/>
      <c r="AI603" s="326"/>
      <c r="AL603" s="326"/>
      <c r="AM603" s="326"/>
      <c r="AN603" s="326"/>
    </row>
    <row r="604" spans="1:40" x14ac:dyDescent="0.15">
      <c r="A604" s="318"/>
      <c r="B604" s="320"/>
      <c r="C604" s="320"/>
      <c r="D604" s="320"/>
      <c r="E604" s="320"/>
      <c r="F604" s="320"/>
      <c r="G604" s="320"/>
      <c r="H604" s="320"/>
      <c r="I604" s="320"/>
      <c r="J604" s="320"/>
      <c r="K604" s="320"/>
      <c r="L604" s="320"/>
      <c r="M604" s="320"/>
      <c r="N604" s="320"/>
      <c r="O604" s="321"/>
      <c r="P604" s="321"/>
      <c r="Y604" s="326"/>
      <c r="Z604" s="326"/>
      <c r="AA604" s="326"/>
      <c r="AB604" s="326"/>
      <c r="AC604" s="326"/>
      <c r="AD604" s="326"/>
      <c r="AG604" s="326"/>
      <c r="AH604" s="326"/>
      <c r="AI604" s="326"/>
      <c r="AL604" s="326"/>
      <c r="AM604" s="326"/>
      <c r="AN604" s="326"/>
    </row>
    <row r="605" spans="1:40" x14ac:dyDescent="0.15">
      <c r="A605" s="318"/>
      <c r="B605" s="320"/>
      <c r="C605" s="320"/>
      <c r="D605" s="320"/>
      <c r="E605" s="320"/>
      <c r="F605" s="320"/>
      <c r="G605" s="320"/>
      <c r="H605" s="320"/>
      <c r="I605" s="320"/>
      <c r="J605" s="320"/>
      <c r="K605" s="320"/>
      <c r="L605" s="320"/>
      <c r="M605" s="320"/>
      <c r="N605" s="320"/>
      <c r="O605" s="321"/>
      <c r="P605" s="321"/>
      <c r="Y605" s="326"/>
      <c r="Z605" s="326"/>
      <c r="AA605" s="326"/>
      <c r="AB605" s="326"/>
      <c r="AC605" s="326"/>
      <c r="AD605" s="326"/>
      <c r="AG605" s="326"/>
      <c r="AH605" s="326"/>
      <c r="AI605" s="326"/>
      <c r="AL605" s="326"/>
      <c r="AM605" s="326"/>
      <c r="AN605" s="326"/>
    </row>
    <row r="606" spans="1:40" x14ac:dyDescent="0.15">
      <c r="A606" s="318"/>
      <c r="B606" s="320"/>
      <c r="C606" s="320"/>
      <c r="D606" s="320"/>
      <c r="E606" s="320"/>
      <c r="F606" s="320"/>
      <c r="G606" s="320"/>
      <c r="H606" s="320"/>
      <c r="I606" s="320"/>
      <c r="J606" s="320"/>
      <c r="K606" s="320"/>
      <c r="L606" s="320"/>
      <c r="M606" s="320"/>
      <c r="N606" s="320"/>
      <c r="O606" s="321"/>
      <c r="P606" s="321"/>
      <c r="Y606" s="326"/>
      <c r="Z606" s="326"/>
      <c r="AA606" s="326"/>
      <c r="AB606" s="326"/>
      <c r="AC606" s="326"/>
      <c r="AD606" s="326"/>
      <c r="AG606" s="326"/>
      <c r="AH606" s="326"/>
      <c r="AI606" s="326"/>
      <c r="AL606" s="326"/>
      <c r="AM606" s="326"/>
      <c r="AN606" s="326"/>
    </row>
    <row r="607" spans="1:40" x14ac:dyDescent="0.15">
      <c r="A607" s="318"/>
      <c r="B607" s="320"/>
      <c r="C607" s="320"/>
      <c r="D607" s="320"/>
      <c r="E607" s="320"/>
      <c r="F607" s="320"/>
      <c r="G607" s="320"/>
      <c r="H607" s="320"/>
      <c r="I607" s="320"/>
      <c r="J607" s="320"/>
      <c r="K607" s="320"/>
      <c r="L607" s="320"/>
      <c r="M607" s="320"/>
      <c r="N607" s="320"/>
      <c r="O607" s="321"/>
      <c r="P607" s="321"/>
      <c r="Y607" s="326"/>
      <c r="Z607" s="326"/>
      <c r="AA607" s="326"/>
      <c r="AB607" s="326"/>
      <c r="AC607" s="326"/>
      <c r="AD607" s="326"/>
      <c r="AG607" s="326"/>
      <c r="AH607" s="326"/>
      <c r="AI607" s="326"/>
      <c r="AL607" s="326"/>
      <c r="AM607" s="326"/>
      <c r="AN607" s="326"/>
    </row>
    <row r="608" spans="1:40" x14ac:dyDescent="0.15">
      <c r="A608" s="318"/>
      <c r="B608" s="320"/>
      <c r="C608" s="320"/>
      <c r="D608" s="320"/>
      <c r="E608" s="320"/>
      <c r="F608" s="320"/>
      <c r="G608" s="320"/>
      <c r="H608" s="320"/>
      <c r="I608" s="320"/>
      <c r="J608" s="320"/>
      <c r="K608" s="320"/>
      <c r="L608" s="320"/>
      <c r="M608" s="320"/>
      <c r="N608" s="320"/>
      <c r="O608" s="321"/>
      <c r="P608" s="321"/>
      <c r="Y608" s="326"/>
      <c r="Z608" s="326"/>
      <c r="AA608" s="326"/>
      <c r="AB608" s="326"/>
      <c r="AC608" s="326"/>
      <c r="AD608" s="326"/>
      <c r="AG608" s="326"/>
      <c r="AH608" s="326"/>
      <c r="AI608" s="326"/>
      <c r="AL608" s="326"/>
      <c r="AM608" s="326"/>
      <c r="AN608" s="326"/>
    </row>
    <row r="609" spans="1:40" x14ac:dyDescent="0.15">
      <c r="A609" s="318"/>
      <c r="B609" s="320"/>
      <c r="C609" s="320"/>
      <c r="D609" s="320"/>
      <c r="E609" s="320"/>
      <c r="F609" s="320"/>
      <c r="G609" s="320"/>
      <c r="H609" s="320"/>
      <c r="I609" s="320"/>
      <c r="J609" s="320"/>
      <c r="K609" s="320"/>
      <c r="L609" s="320"/>
      <c r="M609" s="320"/>
      <c r="N609" s="320"/>
      <c r="O609" s="321"/>
      <c r="P609" s="321"/>
      <c r="Y609" s="326"/>
      <c r="Z609" s="326"/>
      <c r="AA609" s="326"/>
      <c r="AB609" s="326"/>
      <c r="AC609" s="326"/>
      <c r="AD609" s="326"/>
      <c r="AG609" s="326"/>
      <c r="AH609" s="326"/>
      <c r="AI609" s="326"/>
      <c r="AL609" s="326"/>
      <c r="AM609" s="326"/>
      <c r="AN609" s="326"/>
    </row>
    <row r="610" spans="1:40" x14ac:dyDescent="0.15">
      <c r="A610" s="318"/>
      <c r="B610" s="320"/>
      <c r="C610" s="320"/>
      <c r="D610" s="320"/>
      <c r="E610" s="320"/>
      <c r="F610" s="320"/>
      <c r="G610" s="320"/>
      <c r="H610" s="320"/>
      <c r="I610" s="320"/>
      <c r="J610" s="320"/>
      <c r="K610" s="320"/>
      <c r="L610" s="320"/>
      <c r="M610" s="320"/>
      <c r="N610" s="320"/>
      <c r="O610" s="321"/>
      <c r="P610" s="321"/>
      <c r="Y610" s="326"/>
      <c r="Z610" s="326"/>
      <c r="AA610" s="326"/>
      <c r="AB610" s="326"/>
      <c r="AC610" s="326"/>
      <c r="AD610" s="326"/>
      <c r="AG610" s="326"/>
      <c r="AH610" s="326"/>
      <c r="AI610" s="326"/>
      <c r="AL610" s="326"/>
      <c r="AM610" s="326"/>
      <c r="AN610" s="326"/>
    </row>
    <row r="611" spans="1:40" x14ac:dyDescent="0.15">
      <c r="A611" s="318"/>
      <c r="B611" s="320"/>
      <c r="C611" s="320"/>
      <c r="D611" s="320"/>
      <c r="E611" s="320"/>
      <c r="F611" s="320"/>
      <c r="G611" s="320"/>
      <c r="H611" s="320"/>
      <c r="I611" s="320"/>
      <c r="J611" s="320"/>
      <c r="K611" s="320"/>
      <c r="L611" s="320"/>
      <c r="M611" s="320"/>
      <c r="N611" s="320"/>
      <c r="O611" s="321"/>
      <c r="P611" s="321"/>
      <c r="Y611" s="326"/>
      <c r="Z611" s="326"/>
      <c r="AA611" s="326"/>
      <c r="AB611" s="326"/>
      <c r="AC611" s="326"/>
      <c r="AD611" s="326"/>
      <c r="AG611" s="326"/>
      <c r="AH611" s="326"/>
      <c r="AI611" s="326"/>
      <c r="AL611" s="326"/>
      <c r="AM611" s="326"/>
      <c r="AN611" s="326"/>
    </row>
    <row r="612" spans="1:40" x14ac:dyDescent="0.15">
      <c r="A612" s="318"/>
      <c r="B612" s="320"/>
      <c r="C612" s="320"/>
      <c r="D612" s="320"/>
      <c r="E612" s="320"/>
      <c r="F612" s="320"/>
      <c r="G612" s="320"/>
      <c r="H612" s="320"/>
      <c r="I612" s="320"/>
      <c r="J612" s="320"/>
      <c r="K612" s="320"/>
      <c r="L612" s="320"/>
      <c r="M612" s="320"/>
      <c r="N612" s="320"/>
      <c r="O612" s="321"/>
      <c r="P612" s="321"/>
      <c r="Y612" s="326"/>
      <c r="Z612" s="326"/>
      <c r="AA612" s="326"/>
      <c r="AB612" s="326"/>
      <c r="AC612" s="326"/>
      <c r="AD612" s="326"/>
      <c r="AG612" s="326"/>
      <c r="AH612" s="326"/>
      <c r="AI612" s="326"/>
      <c r="AL612" s="326"/>
      <c r="AM612" s="326"/>
      <c r="AN612" s="326"/>
    </row>
    <row r="613" spans="1:40" x14ac:dyDescent="0.15">
      <c r="A613" s="318"/>
      <c r="B613" s="320"/>
      <c r="C613" s="320"/>
      <c r="D613" s="320"/>
      <c r="E613" s="320"/>
      <c r="F613" s="320"/>
      <c r="G613" s="320"/>
      <c r="H613" s="320"/>
      <c r="I613" s="320"/>
      <c r="J613" s="320"/>
      <c r="K613" s="320"/>
      <c r="L613" s="320"/>
      <c r="M613" s="320"/>
      <c r="N613" s="320"/>
      <c r="O613" s="321"/>
      <c r="P613" s="321"/>
      <c r="Y613" s="326"/>
      <c r="Z613" s="326"/>
      <c r="AA613" s="326"/>
      <c r="AB613" s="326"/>
      <c r="AC613" s="326"/>
      <c r="AD613" s="326"/>
      <c r="AG613" s="326"/>
      <c r="AH613" s="326"/>
      <c r="AI613" s="326"/>
      <c r="AL613" s="326"/>
      <c r="AM613" s="326"/>
      <c r="AN613" s="326"/>
    </row>
    <row r="614" spans="1:40" x14ac:dyDescent="0.15">
      <c r="A614" s="318"/>
      <c r="B614" s="320"/>
      <c r="C614" s="320"/>
      <c r="D614" s="320"/>
      <c r="E614" s="320"/>
      <c r="F614" s="320"/>
      <c r="G614" s="320"/>
      <c r="H614" s="320"/>
      <c r="I614" s="320"/>
      <c r="J614" s="320"/>
      <c r="K614" s="320"/>
      <c r="L614" s="320"/>
      <c r="M614" s="320"/>
      <c r="N614" s="320"/>
      <c r="O614" s="321"/>
      <c r="P614" s="321"/>
      <c r="Y614" s="326"/>
      <c r="Z614" s="326"/>
      <c r="AA614" s="326"/>
      <c r="AB614" s="326"/>
      <c r="AC614" s="326"/>
      <c r="AD614" s="326"/>
      <c r="AG614" s="326"/>
      <c r="AH614" s="326"/>
      <c r="AI614" s="326"/>
      <c r="AL614" s="326"/>
      <c r="AM614" s="326"/>
      <c r="AN614" s="326"/>
    </row>
    <row r="615" spans="1:40" x14ac:dyDescent="0.15">
      <c r="A615" s="318"/>
      <c r="B615" s="320"/>
      <c r="C615" s="320"/>
      <c r="D615" s="320"/>
      <c r="E615" s="320"/>
      <c r="F615" s="320"/>
      <c r="G615" s="320"/>
      <c r="H615" s="320"/>
      <c r="I615" s="320"/>
      <c r="J615" s="320"/>
      <c r="K615" s="320"/>
      <c r="L615" s="320"/>
      <c r="M615" s="320"/>
      <c r="N615" s="320"/>
      <c r="O615" s="321"/>
      <c r="P615" s="321"/>
      <c r="Y615" s="326"/>
      <c r="Z615" s="326"/>
      <c r="AA615" s="326"/>
      <c r="AB615" s="326"/>
      <c r="AC615" s="326"/>
      <c r="AD615" s="326"/>
      <c r="AG615" s="326"/>
      <c r="AH615" s="326"/>
      <c r="AI615" s="326"/>
      <c r="AL615" s="326"/>
      <c r="AM615" s="326"/>
      <c r="AN615" s="326"/>
    </row>
    <row r="616" spans="1:40" x14ac:dyDescent="0.15">
      <c r="A616" s="318"/>
      <c r="B616" s="320"/>
      <c r="C616" s="320"/>
      <c r="D616" s="320"/>
      <c r="E616" s="320"/>
      <c r="F616" s="320"/>
      <c r="G616" s="320"/>
      <c r="H616" s="320"/>
      <c r="I616" s="320"/>
      <c r="J616" s="320"/>
      <c r="K616" s="320"/>
      <c r="L616" s="320"/>
      <c r="M616" s="320"/>
      <c r="N616" s="320"/>
      <c r="O616" s="321"/>
      <c r="P616" s="321"/>
      <c r="Y616" s="326"/>
      <c r="Z616" s="326"/>
      <c r="AA616" s="326"/>
      <c r="AB616" s="326"/>
      <c r="AC616" s="326"/>
      <c r="AD616" s="326"/>
      <c r="AG616" s="326"/>
      <c r="AH616" s="326"/>
      <c r="AI616" s="326"/>
      <c r="AL616" s="326"/>
      <c r="AM616" s="326"/>
      <c r="AN616" s="326"/>
    </row>
    <row r="617" spans="1:40" x14ac:dyDescent="0.15">
      <c r="A617" s="318"/>
      <c r="B617" s="320"/>
      <c r="C617" s="320"/>
      <c r="D617" s="320"/>
      <c r="E617" s="320"/>
      <c r="F617" s="320"/>
      <c r="G617" s="320"/>
      <c r="H617" s="320"/>
      <c r="I617" s="320"/>
      <c r="J617" s="320"/>
      <c r="K617" s="320"/>
      <c r="L617" s="320"/>
      <c r="M617" s="320"/>
      <c r="N617" s="320"/>
      <c r="O617" s="321"/>
      <c r="P617" s="321"/>
      <c r="Y617" s="326"/>
      <c r="Z617" s="326"/>
      <c r="AA617" s="326"/>
      <c r="AB617" s="326"/>
      <c r="AC617" s="326"/>
      <c r="AD617" s="326"/>
      <c r="AG617" s="326"/>
      <c r="AH617" s="326"/>
      <c r="AI617" s="326"/>
      <c r="AL617" s="326"/>
      <c r="AM617" s="326"/>
      <c r="AN617" s="326"/>
    </row>
    <row r="618" spans="1:40" x14ac:dyDescent="0.15">
      <c r="A618" s="318"/>
      <c r="B618" s="320"/>
      <c r="C618" s="320"/>
      <c r="D618" s="320"/>
      <c r="E618" s="320"/>
      <c r="F618" s="320"/>
      <c r="G618" s="320"/>
      <c r="H618" s="320"/>
      <c r="I618" s="320"/>
      <c r="J618" s="320"/>
      <c r="K618" s="320"/>
      <c r="L618" s="320"/>
      <c r="M618" s="320"/>
      <c r="N618" s="320"/>
      <c r="O618" s="321"/>
      <c r="P618" s="321"/>
      <c r="Y618" s="326"/>
      <c r="Z618" s="326"/>
      <c r="AA618" s="326"/>
      <c r="AB618" s="326"/>
      <c r="AC618" s="326"/>
      <c r="AD618" s="326"/>
      <c r="AG618" s="326"/>
      <c r="AH618" s="326"/>
      <c r="AI618" s="326"/>
      <c r="AL618" s="326"/>
      <c r="AM618" s="326"/>
      <c r="AN618" s="326"/>
    </row>
    <row r="619" spans="1:40" x14ac:dyDescent="0.15">
      <c r="A619" s="318"/>
      <c r="B619" s="320"/>
      <c r="C619" s="320"/>
      <c r="D619" s="320"/>
      <c r="E619" s="320"/>
      <c r="F619" s="320"/>
      <c r="G619" s="320"/>
      <c r="H619" s="320"/>
      <c r="I619" s="320"/>
      <c r="J619" s="320"/>
      <c r="K619" s="320"/>
      <c r="L619" s="320"/>
      <c r="M619" s="320"/>
      <c r="N619" s="320"/>
      <c r="O619" s="321"/>
      <c r="P619" s="321"/>
      <c r="Y619" s="326"/>
      <c r="Z619" s="326"/>
      <c r="AA619" s="326"/>
      <c r="AB619" s="326"/>
      <c r="AC619" s="326"/>
      <c r="AD619" s="326"/>
      <c r="AG619" s="326"/>
      <c r="AH619" s="326"/>
      <c r="AI619" s="326"/>
      <c r="AL619" s="326"/>
      <c r="AM619" s="326"/>
      <c r="AN619" s="326"/>
    </row>
    <row r="620" spans="1:40" x14ac:dyDescent="0.15">
      <c r="A620" s="318"/>
      <c r="B620" s="320"/>
      <c r="C620" s="320"/>
      <c r="D620" s="320"/>
      <c r="E620" s="320"/>
      <c r="F620" s="320"/>
      <c r="G620" s="320"/>
      <c r="H620" s="320"/>
      <c r="I620" s="320"/>
      <c r="J620" s="320"/>
      <c r="K620" s="320"/>
      <c r="L620" s="320"/>
      <c r="M620" s="320"/>
      <c r="N620" s="320"/>
      <c r="O620" s="321"/>
      <c r="P620" s="321"/>
      <c r="Y620" s="326"/>
      <c r="Z620" s="326"/>
      <c r="AA620" s="326"/>
      <c r="AB620" s="326"/>
      <c r="AC620" s="326"/>
      <c r="AD620" s="326"/>
      <c r="AG620" s="326"/>
      <c r="AH620" s="326"/>
      <c r="AI620" s="326"/>
      <c r="AL620" s="326"/>
      <c r="AM620" s="326"/>
      <c r="AN620" s="326"/>
    </row>
    <row r="621" spans="1:40" x14ac:dyDescent="0.15">
      <c r="A621" s="318"/>
      <c r="B621" s="320"/>
      <c r="C621" s="320"/>
      <c r="D621" s="320"/>
      <c r="E621" s="320"/>
      <c r="F621" s="320"/>
      <c r="G621" s="320"/>
      <c r="H621" s="320"/>
      <c r="I621" s="320"/>
      <c r="J621" s="320"/>
      <c r="K621" s="320"/>
      <c r="L621" s="320"/>
      <c r="M621" s="320"/>
      <c r="N621" s="320"/>
      <c r="O621" s="321"/>
      <c r="P621" s="321"/>
      <c r="Y621" s="326"/>
      <c r="Z621" s="326"/>
      <c r="AA621" s="326"/>
      <c r="AB621" s="326"/>
      <c r="AC621" s="326"/>
      <c r="AD621" s="326"/>
      <c r="AG621" s="326"/>
      <c r="AH621" s="326"/>
      <c r="AI621" s="326"/>
      <c r="AL621" s="326"/>
      <c r="AM621" s="326"/>
      <c r="AN621" s="326"/>
    </row>
    <row r="622" spans="1:40" x14ac:dyDescent="0.15">
      <c r="A622" s="318"/>
      <c r="B622" s="320"/>
      <c r="C622" s="320"/>
      <c r="D622" s="320"/>
      <c r="E622" s="320"/>
      <c r="F622" s="320"/>
      <c r="G622" s="320"/>
      <c r="H622" s="320"/>
      <c r="I622" s="320"/>
      <c r="J622" s="320"/>
      <c r="K622" s="320"/>
      <c r="L622" s="320"/>
      <c r="M622" s="320"/>
      <c r="N622" s="320"/>
      <c r="O622" s="321"/>
      <c r="P622" s="321"/>
      <c r="Y622" s="326"/>
      <c r="Z622" s="326"/>
      <c r="AA622" s="326"/>
      <c r="AB622" s="326"/>
      <c r="AC622" s="326"/>
      <c r="AD622" s="326"/>
      <c r="AG622" s="326"/>
      <c r="AH622" s="326"/>
      <c r="AI622" s="326"/>
      <c r="AL622" s="326"/>
      <c r="AM622" s="326"/>
      <c r="AN622" s="326"/>
    </row>
    <row r="623" spans="1:40" x14ac:dyDescent="0.15">
      <c r="A623" s="318"/>
      <c r="B623" s="320"/>
      <c r="C623" s="320"/>
      <c r="D623" s="320"/>
      <c r="E623" s="320"/>
      <c r="F623" s="320"/>
      <c r="G623" s="320"/>
      <c r="H623" s="320"/>
      <c r="I623" s="320"/>
      <c r="J623" s="320"/>
      <c r="K623" s="320"/>
      <c r="L623" s="320"/>
      <c r="M623" s="320"/>
      <c r="N623" s="320"/>
      <c r="O623" s="321"/>
      <c r="P623" s="321"/>
      <c r="Y623" s="326"/>
      <c r="Z623" s="326"/>
      <c r="AA623" s="326"/>
      <c r="AB623" s="326"/>
      <c r="AC623" s="326"/>
      <c r="AD623" s="326"/>
      <c r="AG623" s="326"/>
      <c r="AH623" s="326"/>
      <c r="AI623" s="326"/>
      <c r="AL623" s="326"/>
      <c r="AM623" s="326"/>
      <c r="AN623" s="326"/>
    </row>
    <row r="624" spans="1:40" x14ac:dyDescent="0.15">
      <c r="A624" s="318"/>
      <c r="B624" s="320"/>
      <c r="C624" s="320"/>
      <c r="D624" s="320"/>
      <c r="E624" s="320"/>
      <c r="F624" s="320"/>
      <c r="G624" s="320"/>
      <c r="H624" s="320"/>
      <c r="I624" s="320"/>
      <c r="J624" s="320"/>
      <c r="K624" s="320"/>
      <c r="L624" s="320"/>
      <c r="M624" s="320"/>
      <c r="N624" s="320"/>
      <c r="O624" s="321"/>
      <c r="P624" s="321"/>
      <c r="Y624" s="326"/>
      <c r="Z624" s="326"/>
      <c r="AA624" s="326"/>
      <c r="AB624" s="326"/>
      <c r="AC624" s="326"/>
      <c r="AD624" s="326"/>
      <c r="AG624" s="326"/>
      <c r="AH624" s="326"/>
      <c r="AI624" s="326"/>
      <c r="AL624" s="326"/>
      <c r="AM624" s="326"/>
      <c r="AN624" s="326"/>
    </row>
    <row r="625" spans="1:40" x14ac:dyDescent="0.15">
      <c r="A625" s="318"/>
      <c r="B625" s="320"/>
      <c r="C625" s="320"/>
      <c r="D625" s="320"/>
      <c r="E625" s="320"/>
      <c r="F625" s="320"/>
      <c r="G625" s="320"/>
      <c r="H625" s="320"/>
      <c r="I625" s="320"/>
      <c r="J625" s="320"/>
      <c r="K625" s="320"/>
      <c r="L625" s="320"/>
      <c r="M625" s="320"/>
      <c r="N625" s="320"/>
      <c r="O625" s="321"/>
      <c r="P625" s="321"/>
      <c r="Y625" s="326"/>
      <c r="Z625" s="326"/>
      <c r="AA625" s="326"/>
      <c r="AB625" s="326"/>
      <c r="AC625" s="326"/>
      <c r="AD625" s="326"/>
      <c r="AG625" s="326"/>
      <c r="AH625" s="326"/>
      <c r="AI625" s="326"/>
      <c r="AL625" s="326"/>
      <c r="AM625" s="326"/>
      <c r="AN625" s="326"/>
    </row>
    <row r="626" spans="1:40" x14ac:dyDescent="0.15">
      <c r="A626" s="318"/>
      <c r="B626" s="320"/>
      <c r="C626" s="320"/>
      <c r="D626" s="320"/>
      <c r="E626" s="320"/>
      <c r="F626" s="320"/>
      <c r="G626" s="320"/>
      <c r="H626" s="320"/>
      <c r="I626" s="320"/>
      <c r="J626" s="320"/>
      <c r="K626" s="320"/>
      <c r="L626" s="320"/>
      <c r="M626" s="320"/>
      <c r="N626" s="320"/>
      <c r="O626" s="321"/>
      <c r="P626" s="321"/>
      <c r="Y626" s="326"/>
      <c r="Z626" s="326"/>
      <c r="AA626" s="326"/>
      <c r="AB626" s="326"/>
      <c r="AC626" s="326"/>
      <c r="AD626" s="326"/>
      <c r="AG626" s="326"/>
      <c r="AH626" s="326"/>
      <c r="AI626" s="326"/>
      <c r="AL626" s="326"/>
      <c r="AM626" s="326"/>
      <c r="AN626" s="326"/>
    </row>
    <row r="627" spans="1:40" x14ac:dyDescent="0.15">
      <c r="A627" s="318"/>
      <c r="B627" s="320"/>
      <c r="C627" s="320"/>
      <c r="D627" s="320"/>
      <c r="E627" s="320"/>
      <c r="F627" s="320"/>
      <c r="G627" s="320"/>
      <c r="H627" s="320"/>
      <c r="I627" s="320"/>
      <c r="J627" s="320"/>
      <c r="K627" s="320"/>
      <c r="L627" s="320"/>
      <c r="M627" s="320"/>
      <c r="N627" s="320"/>
      <c r="O627" s="321"/>
      <c r="P627" s="321"/>
      <c r="Y627" s="326"/>
      <c r="Z627" s="326"/>
      <c r="AA627" s="326"/>
      <c r="AB627" s="326"/>
      <c r="AC627" s="326"/>
      <c r="AD627" s="326"/>
      <c r="AG627" s="326"/>
      <c r="AH627" s="326"/>
      <c r="AI627" s="326"/>
      <c r="AL627" s="326"/>
      <c r="AM627" s="326"/>
      <c r="AN627" s="326"/>
    </row>
    <row r="628" spans="1:40" x14ac:dyDescent="0.15">
      <c r="A628" s="318"/>
      <c r="B628" s="320"/>
      <c r="C628" s="320"/>
      <c r="D628" s="320"/>
      <c r="E628" s="320"/>
      <c r="F628" s="320"/>
      <c r="G628" s="320"/>
      <c r="H628" s="320"/>
      <c r="I628" s="320"/>
      <c r="J628" s="320"/>
      <c r="K628" s="320"/>
      <c r="L628" s="320"/>
      <c r="M628" s="320"/>
      <c r="N628" s="320"/>
      <c r="O628" s="321"/>
      <c r="P628" s="321"/>
      <c r="Y628" s="326"/>
      <c r="Z628" s="326"/>
      <c r="AA628" s="326"/>
      <c r="AB628" s="326"/>
      <c r="AC628" s="326"/>
      <c r="AD628" s="326"/>
      <c r="AG628" s="326"/>
      <c r="AH628" s="326"/>
      <c r="AI628" s="326"/>
      <c r="AL628" s="326"/>
      <c r="AM628" s="326"/>
      <c r="AN628" s="326"/>
    </row>
    <row r="629" spans="1:40" x14ac:dyDescent="0.15">
      <c r="A629" s="318"/>
      <c r="B629" s="320"/>
      <c r="C629" s="320"/>
      <c r="D629" s="320"/>
      <c r="E629" s="320"/>
      <c r="F629" s="320"/>
      <c r="G629" s="320"/>
      <c r="H629" s="320"/>
      <c r="I629" s="320"/>
      <c r="J629" s="320"/>
      <c r="K629" s="320"/>
      <c r="L629" s="320"/>
      <c r="M629" s="320"/>
      <c r="N629" s="320"/>
      <c r="O629" s="321"/>
      <c r="P629" s="321"/>
      <c r="Y629" s="326"/>
      <c r="Z629" s="326"/>
      <c r="AA629" s="326"/>
      <c r="AB629" s="326"/>
      <c r="AC629" s="326"/>
      <c r="AD629" s="326"/>
      <c r="AG629" s="326"/>
      <c r="AH629" s="326"/>
      <c r="AI629" s="326"/>
      <c r="AL629" s="326"/>
      <c r="AM629" s="326"/>
      <c r="AN629" s="326"/>
    </row>
    <row r="630" spans="1:40" x14ac:dyDescent="0.15">
      <c r="A630" s="318"/>
      <c r="B630" s="320"/>
      <c r="C630" s="320"/>
      <c r="D630" s="320"/>
      <c r="E630" s="320"/>
      <c r="F630" s="320"/>
      <c r="G630" s="320"/>
      <c r="H630" s="320"/>
      <c r="I630" s="320"/>
      <c r="J630" s="320"/>
      <c r="K630" s="320"/>
      <c r="L630" s="320"/>
      <c r="M630" s="320"/>
      <c r="N630" s="320"/>
      <c r="O630" s="321"/>
      <c r="P630" s="321"/>
      <c r="Y630" s="326"/>
      <c r="Z630" s="326"/>
      <c r="AA630" s="326"/>
      <c r="AB630" s="326"/>
      <c r="AC630" s="326"/>
      <c r="AD630" s="326"/>
      <c r="AG630" s="326"/>
      <c r="AH630" s="326"/>
      <c r="AI630" s="326"/>
      <c r="AL630" s="326"/>
      <c r="AM630" s="326"/>
      <c r="AN630" s="326"/>
    </row>
    <row r="631" spans="1:40" x14ac:dyDescent="0.15">
      <c r="A631" s="318"/>
      <c r="B631" s="320"/>
      <c r="C631" s="320"/>
      <c r="D631" s="320"/>
      <c r="E631" s="320"/>
      <c r="F631" s="320"/>
      <c r="G631" s="320"/>
      <c r="H631" s="320"/>
      <c r="I631" s="320"/>
      <c r="J631" s="320"/>
      <c r="K631" s="320"/>
      <c r="L631" s="320"/>
      <c r="M631" s="320"/>
      <c r="N631" s="320"/>
      <c r="O631" s="321"/>
      <c r="P631" s="321"/>
      <c r="Y631" s="326"/>
      <c r="Z631" s="326"/>
      <c r="AA631" s="326"/>
      <c r="AB631" s="326"/>
      <c r="AC631" s="326"/>
      <c r="AD631" s="326"/>
      <c r="AG631" s="326"/>
      <c r="AH631" s="326"/>
      <c r="AI631" s="326"/>
      <c r="AL631" s="326"/>
      <c r="AM631" s="326"/>
      <c r="AN631" s="326"/>
    </row>
    <row r="632" spans="1:40" x14ac:dyDescent="0.15">
      <c r="A632" s="318"/>
      <c r="B632" s="320"/>
      <c r="C632" s="320"/>
      <c r="D632" s="320"/>
      <c r="E632" s="320"/>
      <c r="F632" s="320"/>
      <c r="G632" s="320"/>
      <c r="H632" s="320"/>
      <c r="I632" s="320"/>
      <c r="J632" s="320"/>
      <c r="K632" s="320"/>
      <c r="L632" s="320"/>
      <c r="M632" s="320"/>
      <c r="N632" s="320"/>
      <c r="O632" s="321"/>
      <c r="P632" s="321"/>
      <c r="Y632" s="326"/>
      <c r="Z632" s="326"/>
      <c r="AA632" s="326"/>
      <c r="AB632" s="326"/>
      <c r="AC632" s="326"/>
      <c r="AD632" s="326"/>
      <c r="AG632" s="326"/>
      <c r="AH632" s="326"/>
      <c r="AI632" s="326"/>
      <c r="AL632" s="326"/>
      <c r="AM632" s="326"/>
      <c r="AN632" s="326"/>
    </row>
    <row r="633" spans="1:40" x14ac:dyDescent="0.15">
      <c r="A633" s="318"/>
      <c r="B633" s="320"/>
      <c r="C633" s="320"/>
      <c r="D633" s="320"/>
      <c r="E633" s="320"/>
      <c r="F633" s="320"/>
      <c r="G633" s="320"/>
      <c r="H633" s="320"/>
      <c r="I633" s="320"/>
      <c r="J633" s="320"/>
      <c r="K633" s="320"/>
      <c r="L633" s="320"/>
      <c r="M633" s="320"/>
      <c r="N633" s="320"/>
      <c r="O633" s="321"/>
      <c r="P633" s="321"/>
      <c r="Y633" s="326"/>
      <c r="Z633" s="326"/>
      <c r="AA633" s="326"/>
      <c r="AB633" s="326"/>
      <c r="AC633" s="326"/>
      <c r="AD633" s="326"/>
      <c r="AG633" s="326"/>
      <c r="AH633" s="326"/>
      <c r="AI633" s="326"/>
      <c r="AL633" s="326"/>
      <c r="AM633" s="326"/>
      <c r="AN633" s="326"/>
    </row>
    <row r="634" spans="1:40" x14ac:dyDescent="0.15">
      <c r="A634" s="318"/>
      <c r="B634" s="320"/>
      <c r="C634" s="320"/>
      <c r="D634" s="320"/>
      <c r="E634" s="320"/>
      <c r="F634" s="320"/>
      <c r="G634" s="320"/>
      <c r="H634" s="320"/>
      <c r="I634" s="320"/>
      <c r="J634" s="320"/>
      <c r="K634" s="320"/>
      <c r="L634" s="320"/>
      <c r="M634" s="320"/>
      <c r="N634" s="320"/>
      <c r="O634" s="321"/>
      <c r="P634" s="321"/>
      <c r="Y634" s="326"/>
      <c r="Z634" s="326"/>
      <c r="AA634" s="326"/>
      <c r="AB634" s="326"/>
      <c r="AC634" s="326"/>
      <c r="AD634" s="326"/>
      <c r="AG634" s="326"/>
      <c r="AH634" s="326"/>
      <c r="AI634" s="326"/>
      <c r="AL634" s="326"/>
      <c r="AM634" s="326"/>
      <c r="AN634" s="326"/>
    </row>
    <row r="635" spans="1:40" x14ac:dyDescent="0.15">
      <c r="A635" s="318"/>
      <c r="B635" s="320"/>
      <c r="C635" s="320"/>
      <c r="D635" s="320"/>
      <c r="E635" s="320"/>
      <c r="F635" s="320"/>
      <c r="G635" s="320"/>
      <c r="H635" s="320"/>
      <c r="I635" s="320"/>
      <c r="J635" s="320"/>
      <c r="K635" s="320"/>
      <c r="L635" s="320"/>
      <c r="M635" s="320"/>
      <c r="N635" s="320"/>
      <c r="O635" s="321"/>
      <c r="P635" s="321"/>
      <c r="Y635" s="326"/>
      <c r="Z635" s="326"/>
      <c r="AA635" s="326"/>
      <c r="AB635" s="326"/>
      <c r="AC635" s="326"/>
      <c r="AD635" s="326"/>
      <c r="AG635" s="326"/>
      <c r="AH635" s="326"/>
      <c r="AI635" s="326"/>
      <c r="AL635" s="326"/>
      <c r="AM635" s="326"/>
      <c r="AN635" s="326"/>
    </row>
    <row r="636" spans="1:40" x14ac:dyDescent="0.15">
      <c r="A636" s="318"/>
      <c r="B636" s="320"/>
      <c r="C636" s="320"/>
      <c r="D636" s="320"/>
      <c r="E636" s="320"/>
      <c r="F636" s="320"/>
      <c r="G636" s="320"/>
      <c r="H636" s="320"/>
      <c r="I636" s="320"/>
      <c r="J636" s="320"/>
      <c r="K636" s="320"/>
      <c r="L636" s="320"/>
      <c r="M636" s="320"/>
      <c r="N636" s="320"/>
      <c r="O636" s="321"/>
      <c r="P636" s="321"/>
      <c r="Y636" s="326"/>
      <c r="Z636" s="326"/>
      <c r="AA636" s="326"/>
      <c r="AB636" s="326"/>
      <c r="AC636" s="326"/>
      <c r="AD636" s="326"/>
      <c r="AG636" s="326"/>
      <c r="AH636" s="326"/>
      <c r="AI636" s="326"/>
      <c r="AL636" s="326"/>
      <c r="AM636" s="326"/>
      <c r="AN636" s="326"/>
    </row>
    <row r="637" spans="1:40" x14ac:dyDescent="0.15">
      <c r="A637" s="318"/>
      <c r="B637" s="320"/>
      <c r="C637" s="320"/>
      <c r="D637" s="320"/>
      <c r="E637" s="320"/>
      <c r="F637" s="320"/>
      <c r="G637" s="320"/>
      <c r="H637" s="320"/>
      <c r="I637" s="320"/>
      <c r="J637" s="320"/>
      <c r="K637" s="320"/>
      <c r="L637" s="320"/>
      <c r="M637" s="320"/>
      <c r="N637" s="320"/>
      <c r="O637" s="321"/>
      <c r="P637" s="321"/>
      <c r="Y637" s="326"/>
      <c r="Z637" s="326"/>
      <c r="AA637" s="326"/>
      <c r="AB637" s="326"/>
      <c r="AC637" s="326"/>
      <c r="AD637" s="326"/>
      <c r="AG637" s="326"/>
      <c r="AH637" s="326"/>
      <c r="AI637" s="326"/>
      <c r="AL637" s="326"/>
      <c r="AM637" s="326"/>
      <c r="AN637" s="326"/>
    </row>
    <row r="638" spans="1:40" x14ac:dyDescent="0.15">
      <c r="A638" s="318"/>
      <c r="B638" s="320"/>
      <c r="C638" s="320"/>
      <c r="D638" s="320"/>
      <c r="E638" s="320"/>
      <c r="F638" s="320"/>
      <c r="G638" s="320"/>
      <c r="H638" s="320"/>
      <c r="I638" s="320"/>
      <c r="J638" s="320"/>
      <c r="K638" s="320"/>
      <c r="L638" s="320"/>
      <c r="M638" s="320"/>
      <c r="N638" s="320"/>
      <c r="O638" s="321"/>
      <c r="P638" s="321"/>
      <c r="Y638" s="326"/>
      <c r="Z638" s="326"/>
      <c r="AA638" s="326"/>
      <c r="AB638" s="326"/>
      <c r="AC638" s="326"/>
      <c r="AD638" s="326"/>
      <c r="AG638" s="326"/>
      <c r="AH638" s="326"/>
      <c r="AI638" s="326"/>
      <c r="AL638" s="326"/>
      <c r="AM638" s="326"/>
      <c r="AN638" s="326"/>
    </row>
    <row r="639" spans="1:40" x14ac:dyDescent="0.15">
      <c r="A639" s="318"/>
      <c r="B639" s="320"/>
      <c r="C639" s="320"/>
      <c r="D639" s="320"/>
      <c r="E639" s="320"/>
      <c r="F639" s="320"/>
      <c r="G639" s="320"/>
      <c r="H639" s="320"/>
      <c r="I639" s="320"/>
      <c r="J639" s="320"/>
      <c r="K639" s="320"/>
      <c r="L639" s="320"/>
      <c r="M639" s="320"/>
      <c r="N639" s="320"/>
      <c r="O639" s="321"/>
      <c r="P639" s="321"/>
      <c r="Y639" s="326"/>
      <c r="Z639" s="326"/>
      <c r="AA639" s="326"/>
      <c r="AB639" s="326"/>
      <c r="AC639" s="326"/>
      <c r="AD639" s="326"/>
      <c r="AG639" s="326"/>
      <c r="AH639" s="326"/>
      <c r="AI639" s="326"/>
      <c r="AL639" s="326"/>
      <c r="AM639" s="326"/>
      <c r="AN639" s="326"/>
    </row>
    <row r="640" spans="1:40" x14ac:dyDescent="0.15">
      <c r="A640" s="318"/>
      <c r="B640" s="320"/>
      <c r="C640" s="320"/>
      <c r="D640" s="320"/>
      <c r="E640" s="320"/>
      <c r="F640" s="320"/>
      <c r="G640" s="320"/>
      <c r="H640" s="320"/>
      <c r="I640" s="320"/>
      <c r="J640" s="320"/>
      <c r="K640" s="320"/>
      <c r="L640" s="320"/>
      <c r="M640" s="320"/>
      <c r="N640" s="320"/>
      <c r="O640" s="321"/>
      <c r="P640" s="321"/>
      <c r="Y640" s="326"/>
      <c r="Z640" s="326"/>
      <c r="AA640" s="326"/>
      <c r="AB640" s="326"/>
      <c r="AC640" s="326"/>
      <c r="AD640" s="326"/>
      <c r="AG640" s="326"/>
      <c r="AH640" s="326"/>
      <c r="AI640" s="326"/>
      <c r="AL640" s="326"/>
      <c r="AM640" s="326"/>
      <c r="AN640" s="326"/>
    </row>
    <row r="641" spans="1:40" x14ac:dyDescent="0.15">
      <c r="A641" s="318"/>
      <c r="B641" s="320"/>
      <c r="C641" s="320"/>
      <c r="D641" s="320"/>
      <c r="E641" s="320"/>
      <c r="F641" s="320"/>
      <c r="G641" s="320"/>
      <c r="H641" s="320"/>
      <c r="I641" s="320"/>
      <c r="J641" s="320"/>
      <c r="K641" s="320"/>
      <c r="L641" s="320"/>
      <c r="M641" s="320"/>
      <c r="N641" s="320"/>
      <c r="O641" s="321"/>
      <c r="P641" s="321"/>
      <c r="Y641" s="326"/>
      <c r="Z641" s="326"/>
      <c r="AA641" s="326"/>
      <c r="AB641" s="326"/>
      <c r="AC641" s="326"/>
      <c r="AD641" s="326"/>
      <c r="AG641" s="326"/>
      <c r="AH641" s="326"/>
      <c r="AI641" s="326"/>
      <c r="AL641" s="326"/>
      <c r="AM641" s="326"/>
      <c r="AN641" s="326"/>
    </row>
    <row r="642" spans="1:40" x14ac:dyDescent="0.15">
      <c r="A642" s="318"/>
      <c r="B642" s="320"/>
      <c r="C642" s="320"/>
      <c r="D642" s="320"/>
      <c r="E642" s="320"/>
      <c r="F642" s="320"/>
      <c r="G642" s="320"/>
      <c r="H642" s="320"/>
      <c r="I642" s="320"/>
      <c r="J642" s="320"/>
      <c r="K642" s="320"/>
      <c r="L642" s="320"/>
      <c r="M642" s="320"/>
      <c r="N642" s="320"/>
      <c r="O642" s="321"/>
      <c r="P642" s="321"/>
      <c r="Y642" s="326"/>
      <c r="Z642" s="326"/>
      <c r="AA642" s="326"/>
      <c r="AB642" s="326"/>
      <c r="AC642" s="326"/>
      <c r="AD642" s="326"/>
      <c r="AG642" s="326"/>
      <c r="AH642" s="326"/>
      <c r="AI642" s="326"/>
      <c r="AL642" s="326"/>
      <c r="AM642" s="326"/>
      <c r="AN642" s="326"/>
    </row>
    <row r="643" spans="1:40" x14ac:dyDescent="0.15">
      <c r="A643" s="318"/>
      <c r="B643" s="320"/>
      <c r="C643" s="320"/>
      <c r="D643" s="320"/>
      <c r="E643" s="320"/>
      <c r="F643" s="320"/>
      <c r="G643" s="320"/>
      <c r="H643" s="320"/>
      <c r="I643" s="320"/>
      <c r="J643" s="320"/>
      <c r="K643" s="320"/>
      <c r="L643" s="320"/>
      <c r="M643" s="320"/>
      <c r="N643" s="320"/>
      <c r="O643" s="321"/>
      <c r="P643" s="321"/>
      <c r="Y643" s="326"/>
      <c r="Z643" s="326"/>
      <c r="AA643" s="326"/>
      <c r="AB643" s="326"/>
      <c r="AC643" s="326"/>
      <c r="AD643" s="326"/>
      <c r="AG643" s="326"/>
      <c r="AH643" s="326"/>
      <c r="AI643" s="326"/>
      <c r="AL643" s="326"/>
      <c r="AM643" s="326"/>
      <c r="AN643" s="326"/>
    </row>
    <row r="644" spans="1:40" x14ac:dyDescent="0.15">
      <c r="A644" s="318"/>
      <c r="B644" s="320"/>
      <c r="C644" s="320"/>
      <c r="D644" s="320"/>
      <c r="E644" s="320"/>
      <c r="F644" s="320"/>
      <c r="G644" s="320"/>
      <c r="H644" s="320"/>
      <c r="I644" s="320"/>
      <c r="J644" s="320"/>
      <c r="K644" s="320"/>
      <c r="L644" s="320"/>
      <c r="M644" s="320"/>
      <c r="N644" s="320"/>
      <c r="O644" s="321"/>
      <c r="P644" s="321"/>
      <c r="Y644" s="326"/>
      <c r="Z644" s="326"/>
      <c r="AA644" s="326"/>
      <c r="AB644" s="326"/>
      <c r="AC644" s="326"/>
      <c r="AD644" s="326"/>
      <c r="AG644" s="326"/>
      <c r="AH644" s="326"/>
      <c r="AI644" s="326"/>
      <c r="AL644" s="326"/>
      <c r="AM644" s="326"/>
      <c r="AN644" s="326"/>
    </row>
    <row r="645" spans="1:40" x14ac:dyDescent="0.15">
      <c r="A645" s="318"/>
      <c r="B645" s="320"/>
      <c r="C645" s="320"/>
      <c r="D645" s="320"/>
      <c r="E645" s="320"/>
      <c r="F645" s="320"/>
      <c r="G645" s="320"/>
      <c r="H645" s="320"/>
      <c r="I645" s="320"/>
      <c r="J645" s="320"/>
      <c r="K645" s="320"/>
      <c r="L645" s="320"/>
      <c r="M645" s="320"/>
      <c r="N645" s="320"/>
      <c r="O645" s="321"/>
      <c r="P645" s="321"/>
      <c r="Y645" s="326"/>
      <c r="Z645" s="326"/>
      <c r="AA645" s="326"/>
      <c r="AB645" s="326"/>
      <c r="AC645" s="326"/>
      <c r="AD645" s="326"/>
      <c r="AG645" s="326"/>
      <c r="AH645" s="326"/>
      <c r="AI645" s="326"/>
      <c r="AL645" s="326"/>
      <c r="AM645" s="326"/>
      <c r="AN645" s="326"/>
    </row>
    <row r="646" spans="1:40" x14ac:dyDescent="0.15">
      <c r="A646" s="318"/>
      <c r="B646" s="320"/>
      <c r="C646" s="320"/>
      <c r="D646" s="320"/>
      <c r="E646" s="320"/>
      <c r="F646" s="320"/>
      <c r="G646" s="320"/>
      <c r="H646" s="320"/>
      <c r="I646" s="320"/>
      <c r="J646" s="320"/>
      <c r="K646" s="320"/>
      <c r="L646" s="320"/>
      <c r="M646" s="320"/>
      <c r="N646" s="320"/>
      <c r="O646" s="321"/>
      <c r="P646" s="321"/>
      <c r="Y646" s="326"/>
      <c r="Z646" s="326"/>
      <c r="AA646" s="326"/>
      <c r="AB646" s="326"/>
      <c r="AC646" s="326"/>
      <c r="AD646" s="326"/>
      <c r="AG646" s="326"/>
      <c r="AH646" s="326"/>
      <c r="AI646" s="326"/>
      <c r="AL646" s="326"/>
      <c r="AM646" s="326"/>
      <c r="AN646" s="326"/>
    </row>
    <row r="647" spans="1:40" x14ac:dyDescent="0.15">
      <c r="A647" s="318"/>
      <c r="B647" s="320"/>
      <c r="C647" s="320"/>
      <c r="D647" s="320"/>
      <c r="E647" s="320"/>
      <c r="F647" s="320"/>
      <c r="G647" s="320"/>
      <c r="H647" s="320"/>
      <c r="I647" s="320"/>
      <c r="J647" s="320"/>
      <c r="K647" s="320"/>
      <c r="L647" s="320"/>
      <c r="M647" s="320"/>
      <c r="N647" s="320"/>
      <c r="O647" s="321"/>
      <c r="P647" s="321"/>
      <c r="Y647" s="326"/>
      <c r="Z647" s="326"/>
      <c r="AA647" s="326"/>
      <c r="AB647" s="326"/>
      <c r="AC647" s="326"/>
      <c r="AD647" s="326"/>
      <c r="AG647" s="326"/>
      <c r="AH647" s="326"/>
      <c r="AI647" s="326"/>
      <c r="AL647" s="326"/>
      <c r="AM647" s="326"/>
      <c r="AN647" s="326"/>
    </row>
    <row r="648" spans="1:40" x14ac:dyDescent="0.15">
      <c r="A648" s="318"/>
      <c r="B648" s="320"/>
      <c r="C648" s="320"/>
      <c r="D648" s="320"/>
      <c r="E648" s="320"/>
      <c r="F648" s="320"/>
      <c r="G648" s="320"/>
      <c r="H648" s="320"/>
      <c r="I648" s="320"/>
      <c r="J648" s="320"/>
      <c r="K648" s="320"/>
      <c r="L648" s="320"/>
      <c r="M648" s="320"/>
      <c r="N648" s="320"/>
      <c r="O648" s="321"/>
      <c r="P648" s="321"/>
      <c r="Y648" s="326"/>
      <c r="Z648" s="326"/>
      <c r="AA648" s="326"/>
      <c r="AB648" s="326"/>
      <c r="AC648" s="326"/>
      <c r="AD648" s="326"/>
      <c r="AG648" s="326"/>
      <c r="AH648" s="326"/>
      <c r="AI648" s="326"/>
      <c r="AL648" s="326"/>
      <c r="AM648" s="326"/>
      <c r="AN648" s="326"/>
    </row>
    <row r="649" spans="1:40" x14ac:dyDescent="0.15">
      <c r="A649" s="318"/>
      <c r="B649" s="320"/>
      <c r="C649" s="320"/>
      <c r="D649" s="320"/>
      <c r="E649" s="320"/>
      <c r="F649" s="320"/>
      <c r="G649" s="320"/>
      <c r="H649" s="320"/>
      <c r="I649" s="320"/>
      <c r="J649" s="320"/>
      <c r="K649" s="320"/>
      <c r="L649" s="320"/>
      <c r="M649" s="320"/>
      <c r="N649" s="320"/>
      <c r="O649" s="321"/>
      <c r="P649" s="321"/>
      <c r="Y649" s="326"/>
      <c r="Z649" s="326"/>
      <c r="AA649" s="326"/>
      <c r="AB649" s="326"/>
      <c r="AC649" s="326"/>
      <c r="AD649" s="326"/>
      <c r="AG649" s="326"/>
      <c r="AH649" s="326"/>
      <c r="AI649" s="326"/>
      <c r="AL649" s="326"/>
      <c r="AM649" s="326"/>
      <c r="AN649" s="326"/>
    </row>
    <row r="650" spans="1:40" x14ac:dyDescent="0.15">
      <c r="A650" s="318"/>
      <c r="B650" s="320"/>
      <c r="C650" s="320"/>
      <c r="D650" s="320"/>
      <c r="E650" s="320"/>
      <c r="F650" s="320"/>
      <c r="G650" s="320"/>
      <c r="H650" s="320"/>
      <c r="I650" s="320"/>
      <c r="J650" s="320"/>
      <c r="K650" s="320"/>
      <c r="L650" s="320"/>
      <c r="M650" s="320"/>
      <c r="N650" s="320"/>
      <c r="O650" s="321"/>
      <c r="P650" s="321"/>
      <c r="Y650" s="326"/>
      <c r="Z650" s="326"/>
      <c r="AA650" s="326"/>
      <c r="AB650" s="326"/>
      <c r="AC650" s="326"/>
      <c r="AD650" s="326"/>
      <c r="AG650" s="326"/>
      <c r="AH650" s="326"/>
      <c r="AI650" s="326"/>
      <c r="AL650" s="326"/>
      <c r="AM650" s="326"/>
      <c r="AN650" s="326"/>
    </row>
    <row r="651" spans="1:40" x14ac:dyDescent="0.15">
      <c r="A651" s="318"/>
      <c r="B651" s="320"/>
      <c r="C651" s="320"/>
      <c r="D651" s="320"/>
      <c r="E651" s="320"/>
      <c r="F651" s="320"/>
      <c r="G651" s="320"/>
      <c r="H651" s="320"/>
      <c r="I651" s="320"/>
      <c r="J651" s="320"/>
      <c r="K651" s="320"/>
      <c r="L651" s="320"/>
      <c r="M651" s="320"/>
      <c r="N651" s="320"/>
      <c r="O651" s="321"/>
      <c r="P651" s="321"/>
      <c r="Y651" s="326"/>
      <c r="Z651" s="326"/>
      <c r="AA651" s="326"/>
      <c r="AB651" s="326"/>
      <c r="AC651" s="326"/>
      <c r="AD651" s="326"/>
      <c r="AG651" s="326"/>
      <c r="AH651" s="326"/>
      <c r="AI651" s="326"/>
      <c r="AL651" s="326"/>
      <c r="AM651" s="326"/>
      <c r="AN651" s="326"/>
    </row>
    <row r="652" spans="1:40" x14ac:dyDescent="0.15">
      <c r="A652" s="318"/>
      <c r="B652" s="320"/>
      <c r="C652" s="320"/>
      <c r="D652" s="320"/>
      <c r="E652" s="320"/>
      <c r="F652" s="320"/>
      <c r="G652" s="320"/>
      <c r="H652" s="320"/>
      <c r="I652" s="320"/>
      <c r="J652" s="320"/>
      <c r="K652" s="320"/>
      <c r="L652" s="320"/>
      <c r="M652" s="320"/>
      <c r="N652" s="320"/>
      <c r="O652" s="321"/>
      <c r="P652" s="321"/>
      <c r="Y652" s="326"/>
      <c r="Z652" s="326"/>
      <c r="AA652" s="326"/>
      <c r="AB652" s="326"/>
      <c r="AC652" s="326"/>
      <c r="AD652" s="326"/>
      <c r="AG652" s="326"/>
      <c r="AH652" s="326"/>
      <c r="AI652" s="326"/>
      <c r="AL652" s="326"/>
      <c r="AM652" s="326"/>
      <c r="AN652" s="326"/>
    </row>
    <row r="653" spans="1:40" x14ac:dyDescent="0.15">
      <c r="A653" s="318"/>
      <c r="B653" s="320"/>
      <c r="C653" s="320"/>
      <c r="D653" s="320"/>
      <c r="E653" s="320"/>
      <c r="F653" s="320"/>
      <c r="G653" s="320"/>
      <c r="H653" s="320"/>
      <c r="I653" s="320"/>
      <c r="J653" s="320"/>
      <c r="K653" s="320"/>
      <c r="L653" s="320"/>
      <c r="M653" s="320"/>
      <c r="N653" s="320"/>
      <c r="O653" s="321"/>
      <c r="P653" s="321"/>
      <c r="Y653" s="326"/>
      <c r="Z653" s="326"/>
      <c r="AA653" s="326"/>
      <c r="AB653" s="326"/>
      <c r="AC653" s="326"/>
      <c r="AD653" s="326"/>
      <c r="AG653" s="326"/>
      <c r="AH653" s="326"/>
      <c r="AI653" s="326"/>
      <c r="AL653" s="326"/>
      <c r="AM653" s="326"/>
      <c r="AN653" s="326"/>
    </row>
    <row r="654" spans="1:40" x14ac:dyDescent="0.15">
      <c r="A654" s="318"/>
      <c r="B654" s="320"/>
      <c r="C654" s="320"/>
      <c r="D654" s="320"/>
      <c r="E654" s="320"/>
      <c r="F654" s="320"/>
      <c r="G654" s="320"/>
      <c r="H654" s="320"/>
      <c r="I654" s="320"/>
      <c r="J654" s="320"/>
      <c r="K654" s="320"/>
      <c r="L654" s="320"/>
      <c r="M654" s="320"/>
      <c r="N654" s="320"/>
      <c r="O654" s="321"/>
      <c r="P654" s="321"/>
      <c r="Y654" s="326"/>
      <c r="Z654" s="326"/>
      <c r="AA654" s="326"/>
      <c r="AB654" s="326"/>
      <c r="AC654" s="326"/>
      <c r="AD654" s="326"/>
      <c r="AG654" s="326"/>
      <c r="AH654" s="326"/>
      <c r="AI654" s="326"/>
      <c r="AL654" s="326"/>
      <c r="AM654" s="326"/>
      <c r="AN654" s="326"/>
    </row>
    <row r="655" spans="1:40" x14ac:dyDescent="0.15">
      <c r="A655" s="318"/>
      <c r="B655" s="320"/>
      <c r="C655" s="320"/>
      <c r="D655" s="320"/>
      <c r="E655" s="320"/>
      <c r="F655" s="320"/>
      <c r="G655" s="320"/>
      <c r="H655" s="320"/>
      <c r="I655" s="320"/>
      <c r="J655" s="320"/>
      <c r="K655" s="320"/>
      <c r="L655" s="320"/>
      <c r="M655" s="320"/>
      <c r="N655" s="320"/>
      <c r="O655" s="321"/>
      <c r="P655" s="321"/>
      <c r="Y655" s="326"/>
      <c r="Z655" s="326"/>
      <c r="AA655" s="326"/>
      <c r="AB655" s="326"/>
      <c r="AC655" s="326"/>
      <c r="AD655" s="326"/>
      <c r="AG655" s="326"/>
      <c r="AH655" s="326"/>
      <c r="AI655" s="326"/>
      <c r="AL655" s="326"/>
      <c r="AM655" s="326"/>
      <c r="AN655" s="326"/>
    </row>
    <row r="656" spans="1:40" x14ac:dyDescent="0.15">
      <c r="A656" s="318"/>
      <c r="B656" s="320"/>
      <c r="C656" s="320"/>
      <c r="D656" s="320"/>
      <c r="E656" s="320"/>
      <c r="F656" s="320"/>
      <c r="G656" s="320"/>
      <c r="H656" s="320"/>
      <c r="I656" s="320"/>
      <c r="J656" s="320"/>
      <c r="K656" s="320"/>
      <c r="L656" s="320"/>
      <c r="M656" s="320"/>
      <c r="N656" s="320"/>
      <c r="O656" s="321"/>
      <c r="P656" s="321"/>
      <c r="Y656" s="326"/>
      <c r="Z656" s="326"/>
      <c r="AA656" s="326"/>
      <c r="AB656" s="326"/>
      <c r="AC656" s="326"/>
      <c r="AD656" s="326"/>
      <c r="AG656" s="326"/>
      <c r="AH656" s="326"/>
      <c r="AI656" s="326"/>
      <c r="AL656" s="326"/>
      <c r="AM656" s="326"/>
      <c r="AN656" s="326"/>
    </row>
    <row r="657" spans="1:40" x14ac:dyDescent="0.15">
      <c r="A657" s="318"/>
      <c r="B657" s="320"/>
      <c r="C657" s="320"/>
      <c r="D657" s="320"/>
      <c r="E657" s="320"/>
      <c r="F657" s="320"/>
      <c r="G657" s="320"/>
      <c r="H657" s="320"/>
      <c r="I657" s="320"/>
      <c r="J657" s="320"/>
      <c r="K657" s="320"/>
      <c r="L657" s="320"/>
      <c r="M657" s="320"/>
      <c r="N657" s="320"/>
      <c r="O657" s="321"/>
      <c r="P657" s="321"/>
      <c r="Y657" s="326"/>
      <c r="Z657" s="326"/>
      <c r="AA657" s="326"/>
      <c r="AB657" s="326"/>
      <c r="AC657" s="326"/>
      <c r="AD657" s="326"/>
      <c r="AG657" s="326"/>
      <c r="AH657" s="326"/>
      <c r="AI657" s="326"/>
      <c r="AL657" s="326"/>
      <c r="AM657" s="326"/>
      <c r="AN657" s="326"/>
    </row>
    <row r="658" spans="1:40" x14ac:dyDescent="0.15">
      <c r="A658" s="318"/>
      <c r="B658" s="320"/>
      <c r="C658" s="320"/>
      <c r="D658" s="320"/>
      <c r="E658" s="320"/>
      <c r="F658" s="320"/>
      <c r="G658" s="320"/>
      <c r="H658" s="320"/>
      <c r="I658" s="320"/>
      <c r="J658" s="320"/>
      <c r="K658" s="320"/>
      <c r="L658" s="320"/>
      <c r="M658" s="320"/>
      <c r="N658" s="320"/>
      <c r="O658" s="321"/>
      <c r="P658" s="321"/>
      <c r="Y658" s="326"/>
      <c r="Z658" s="326"/>
      <c r="AA658" s="326"/>
      <c r="AB658" s="326"/>
      <c r="AC658" s="326"/>
      <c r="AD658" s="326"/>
      <c r="AG658" s="326"/>
      <c r="AH658" s="326"/>
      <c r="AI658" s="326"/>
      <c r="AL658" s="326"/>
      <c r="AM658" s="326"/>
      <c r="AN658" s="326"/>
    </row>
    <row r="659" spans="1:40" x14ac:dyDescent="0.15">
      <c r="A659" s="318"/>
      <c r="B659" s="320"/>
      <c r="C659" s="320"/>
      <c r="D659" s="320"/>
      <c r="E659" s="320"/>
      <c r="F659" s="320"/>
      <c r="G659" s="320"/>
      <c r="H659" s="320"/>
      <c r="I659" s="320"/>
      <c r="J659" s="320"/>
      <c r="K659" s="320"/>
      <c r="L659" s="320"/>
      <c r="M659" s="320"/>
      <c r="N659" s="320"/>
      <c r="O659" s="321"/>
      <c r="P659" s="321"/>
      <c r="Y659" s="326"/>
      <c r="Z659" s="326"/>
      <c r="AA659" s="326"/>
      <c r="AB659" s="326"/>
      <c r="AC659" s="326"/>
      <c r="AD659" s="326"/>
      <c r="AG659" s="326"/>
      <c r="AH659" s="326"/>
      <c r="AI659" s="326"/>
      <c r="AL659" s="326"/>
      <c r="AM659" s="326"/>
      <c r="AN659" s="326"/>
    </row>
    <row r="660" spans="1:40" x14ac:dyDescent="0.15">
      <c r="A660" s="318"/>
      <c r="B660" s="320"/>
      <c r="C660" s="320"/>
      <c r="D660" s="320"/>
      <c r="E660" s="320"/>
      <c r="F660" s="320"/>
      <c r="G660" s="320"/>
      <c r="H660" s="320"/>
      <c r="I660" s="320"/>
      <c r="J660" s="320"/>
      <c r="K660" s="320"/>
      <c r="L660" s="320"/>
      <c r="M660" s="320"/>
      <c r="N660" s="320"/>
      <c r="O660" s="321"/>
      <c r="P660" s="321"/>
      <c r="Y660" s="326"/>
      <c r="Z660" s="326"/>
      <c r="AA660" s="326"/>
      <c r="AB660" s="326"/>
      <c r="AC660" s="326"/>
      <c r="AD660" s="326"/>
      <c r="AG660" s="326"/>
      <c r="AH660" s="326"/>
      <c r="AI660" s="326"/>
      <c r="AL660" s="326"/>
      <c r="AM660" s="326"/>
      <c r="AN660" s="326"/>
    </row>
    <row r="661" spans="1:40" x14ac:dyDescent="0.15">
      <c r="A661" s="318"/>
      <c r="B661" s="320"/>
      <c r="C661" s="320"/>
      <c r="D661" s="320"/>
      <c r="E661" s="320"/>
      <c r="F661" s="320"/>
      <c r="G661" s="320"/>
      <c r="H661" s="320"/>
      <c r="I661" s="320"/>
      <c r="J661" s="320"/>
      <c r="K661" s="320"/>
      <c r="L661" s="320"/>
      <c r="M661" s="320"/>
      <c r="N661" s="320"/>
      <c r="O661" s="321"/>
      <c r="P661" s="321"/>
      <c r="Y661" s="326"/>
      <c r="Z661" s="326"/>
      <c r="AA661" s="326"/>
      <c r="AB661" s="326"/>
      <c r="AC661" s="326"/>
      <c r="AD661" s="326"/>
      <c r="AG661" s="326"/>
      <c r="AH661" s="326"/>
      <c r="AI661" s="326"/>
      <c r="AL661" s="326"/>
      <c r="AM661" s="326"/>
      <c r="AN661" s="326"/>
    </row>
    <row r="662" spans="1:40" x14ac:dyDescent="0.15">
      <c r="A662" s="318"/>
      <c r="B662" s="320"/>
      <c r="C662" s="320"/>
      <c r="D662" s="320"/>
      <c r="E662" s="320"/>
      <c r="F662" s="320"/>
      <c r="G662" s="320"/>
      <c r="H662" s="320"/>
      <c r="I662" s="320"/>
      <c r="J662" s="320"/>
      <c r="K662" s="320"/>
      <c r="L662" s="320"/>
      <c r="M662" s="320"/>
      <c r="N662" s="320"/>
      <c r="O662" s="321"/>
      <c r="P662" s="321"/>
      <c r="Y662" s="326"/>
      <c r="Z662" s="326"/>
      <c r="AA662" s="326"/>
      <c r="AB662" s="326"/>
      <c r="AC662" s="326"/>
      <c r="AD662" s="326"/>
      <c r="AG662" s="326"/>
      <c r="AH662" s="326"/>
      <c r="AI662" s="326"/>
      <c r="AL662" s="326"/>
      <c r="AM662" s="326"/>
      <c r="AN662" s="326"/>
    </row>
    <row r="663" spans="1:40" x14ac:dyDescent="0.15">
      <c r="A663" s="318"/>
      <c r="B663" s="320"/>
      <c r="C663" s="320"/>
      <c r="D663" s="320"/>
      <c r="E663" s="320"/>
      <c r="F663" s="320"/>
      <c r="G663" s="320"/>
      <c r="H663" s="320"/>
      <c r="I663" s="320"/>
      <c r="J663" s="320"/>
      <c r="K663" s="320"/>
      <c r="L663" s="320"/>
      <c r="M663" s="320"/>
      <c r="N663" s="320"/>
      <c r="O663" s="321"/>
      <c r="P663" s="321"/>
      <c r="Y663" s="326"/>
      <c r="Z663" s="326"/>
      <c r="AA663" s="326"/>
      <c r="AB663" s="326"/>
      <c r="AC663" s="326"/>
      <c r="AD663" s="326"/>
      <c r="AG663" s="326"/>
      <c r="AH663" s="326"/>
      <c r="AI663" s="326"/>
      <c r="AL663" s="326"/>
      <c r="AM663" s="326"/>
      <c r="AN663" s="326"/>
    </row>
    <row r="664" spans="1:40" x14ac:dyDescent="0.15">
      <c r="A664" s="318"/>
      <c r="B664" s="320"/>
      <c r="C664" s="320"/>
      <c r="D664" s="320"/>
      <c r="E664" s="320"/>
      <c r="F664" s="320"/>
      <c r="G664" s="320"/>
      <c r="H664" s="320"/>
      <c r="I664" s="320"/>
      <c r="J664" s="320"/>
      <c r="K664" s="320"/>
      <c r="L664" s="320"/>
      <c r="M664" s="320"/>
      <c r="N664" s="320"/>
      <c r="O664" s="321"/>
      <c r="P664" s="321"/>
      <c r="Y664" s="326"/>
      <c r="Z664" s="326"/>
      <c r="AA664" s="326"/>
      <c r="AB664" s="326"/>
      <c r="AC664" s="326"/>
      <c r="AD664" s="326"/>
      <c r="AG664" s="326"/>
      <c r="AH664" s="326"/>
      <c r="AI664" s="326"/>
      <c r="AL664" s="326"/>
      <c r="AM664" s="326"/>
      <c r="AN664" s="326"/>
    </row>
    <row r="665" spans="1:40" x14ac:dyDescent="0.15">
      <c r="A665" s="318"/>
      <c r="B665" s="320"/>
      <c r="C665" s="320"/>
      <c r="D665" s="320"/>
      <c r="E665" s="320"/>
      <c r="F665" s="320"/>
      <c r="G665" s="320"/>
      <c r="H665" s="320"/>
      <c r="I665" s="320"/>
      <c r="J665" s="320"/>
      <c r="K665" s="320"/>
      <c r="L665" s="320"/>
      <c r="M665" s="320"/>
      <c r="N665" s="320"/>
      <c r="O665" s="321"/>
      <c r="P665" s="321"/>
      <c r="Y665" s="326"/>
      <c r="Z665" s="326"/>
      <c r="AA665" s="326"/>
      <c r="AB665" s="326"/>
      <c r="AC665" s="326"/>
      <c r="AD665" s="326"/>
      <c r="AG665" s="326"/>
      <c r="AH665" s="326"/>
      <c r="AI665" s="326"/>
      <c r="AL665" s="326"/>
      <c r="AM665" s="326"/>
      <c r="AN665" s="326"/>
    </row>
    <row r="666" spans="1:40" x14ac:dyDescent="0.15">
      <c r="A666" s="318"/>
      <c r="B666" s="320"/>
      <c r="C666" s="320"/>
      <c r="D666" s="320"/>
      <c r="E666" s="320"/>
      <c r="F666" s="320"/>
      <c r="G666" s="320"/>
      <c r="H666" s="320"/>
      <c r="I666" s="320"/>
      <c r="J666" s="320"/>
      <c r="K666" s="320"/>
      <c r="L666" s="320"/>
      <c r="M666" s="320"/>
      <c r="N666" s="320"/>
      <c r="O666" s="321"/>
      <c r="P666" s="321"/>
      <c r="Y666" s="326"/>
      <c r="Z666" s="326"/>
      <c r="AA666" s="326"/>
      <c r="AB666" s="326"/>
      <c r="AC666" s="326"/>
      <c r="AD666" s="326"/>
      <c r="AG666" s="326"/>
      <c r="AH666" s="326"/>
      <c r="AI666" s="326"/>
      <c r="AL666" s="326"/>
      <c r="AM666" s="326"/>
      <c r="AN666" s="326"/>
    </row>
    <row r="667" spans="1:40" x14ac:dyDescent="0.15">
      <c r="A667" s="318"/>
      <c r="B667" s="320"/>
      <c r="C667" s="320"/>
      <c r="D667" s="320"/>
      <c r="E667" s="320"/>
      <c r="F667" s="320"/>
      <c r="G667" s="320"/>
      <c r="H667" s="320"/>
      <c r="I667" s="320"/>
      <c r="J667" s="320"/>
      <c r="K667" s="320"/>
      <c r="L667" s="320"/>
      <c r="M667" s="320"/>
      <c r="N667" s="320"/>
      <c r="O667" s="321"/>
      <c r="P667" s="321"/>
      <c r="Y667" s="326"/>
      <c r="Z667" s="326"/>
      <c r="AA667" s="326"/>
      <c r="AB667" s="326"/>
      <c r="AC667" s="326"/>
      <c r="AD667" s="326"/>
      <c r="AG667" s="326"/>
      <c r="AH667" s="326"/>
      <c r="AI667" s="326"/>
      <c r="AL667" s="326"/>
      <c r="AM667" s="326"/>
      <c r="AN667" s="326"/>
    </row>
    <row r="668" spans="1:40" x14ac:dyDescent="0.15">
      <c r="A668" s="318"/>
      <c r="B668" s="320"/>
      <c r="C668" s="320"/>
      <c r="D668" s="320"/>
      <c r="E668" s="320"/>
      <c r="F668" s="320"/>
      <c r="G668" s="320"/>
      <c r="H668" s="320"/>
      <c r="I668" s="320"/>
      <c r="J668" s="320"/>
      <c r="K668" s="320"/>
      <c r="L668" s="320"/>
      <c r="M668" s="320"/>
      <c r="N668" s="320"/>
      <c r="O668" s="321"/>
      <c r="P668" s="321"/>
      <c r="Y668" s="326"/>
      <c r="Z668" s="326"/>
      <c r="AA668" s="326"/>
      <c r="AB668" s="326"/>
      <c r="AC668" s="326"/>
      <c r="AD668" s="326"/>
      <c r="AG668" s="326"/>
      <c r="AH668" s="326"/>
      <c r="AI668" s="326"/>
      <c r="AL668" s="326"/>
      <c r="AM668" s="326"/>
      <c r="AN668" s="326"/>
    </row>
    <row r="669" spans="1:40" x14ac:dyDescent="0.15">
      <c r="A669" s="318"/>
      <c r="B669" s="320"/>
      <c r="C669" s="320"/>
      <c r="D669" s="320"/>
      <c r="E669" s="320"/>
      <c r="F669" s="320"/>
      <c r="G669" s="320"/>
      <c r="H669" s="320"/>
      <c r="I669" s="320"/>
      <c r="J669" s="320"/>
      <c r="K669" s="320"/>
      <c r="L669" s="320"/>
      <c r="M669" s="320"/>
      <c r="N669" s="320"/>
      <c r="O669" s="321"/>
      <c r="P669" s="321"/>
      <c r="Y669" s="326"/>
      <c r="Z669" s="326"/>
      <c r="AA669" s="326"/>
      <c r="AB669" s="326"/>
      <c r="AC669" s="326"/>
      <c r="AD669" s="326"/>
      <c r="AG669" s="326"/>
      <c r="AH669" s="326"/>
      <c r="AI669" s="326"/>
      <c r="AL669" s="326"/>
      <c r="AM669" s="326"/>
      <c r="AN669" s="326"/>
    </row>
    <row r="670" spans="1:40" x14ac:dyDescent="0.15">
      <c r="A670" s="318"/>
      <c r="B670" s="320"/>
      <c r="C670" s="320"/>
      <c r="D670" s="320"/>
      <c r="E670" s="320"/>
      <c r="F670" s="320"/>
      <c r="G670" s="320"/>
      <c r="H670" s="320"/>
      <c r="I670" s="320"/>
      <c r="J670" s="320"/>
      <c r="K670" s="320"/>
      <c r="L670" s="320"/>
      <c r="M670" s="320"/>
      <c r="N670" s="320"/>
      <c r="O670" s="321"/>
      <c r="P670" s="321"/>
      <c r="Y670" s="326"/>
      <c r="Z670" s="326"/>
      <c r="AA670" s="326"/>
      <c r="AB670" s="326"/>
      <c r="AC670" s="326"/>
      <c r="AD670" s="326"/>
      <c r="AG670" s="326"/>
      <c r="AH670" s="326"/>
      <c r="AI670" s="326"/>
      <c r="AL670" s="326"/>
      <c r="AM670" s="326"/>
      <c r="AN670" s="326"/>
    </row>
    <row r="671" spans="1:40" x14ac:dyDescent="0.15">
      <c r="A671" s="318"/>
      <c r="B671" s="320"/>
      <c r="C671" s="320"/>
      <c r="D671" s="320"/>
      <c r="E671" s="320"/>
      <c r="F671" s="320"/>
      <c r="G671" s="320"/>
      <c r="H671" s="320"/>
      <c r="I671" s="320"/>
      <c r="J671" s="320"/>
      <c r="K671" s="320"/>
      <c r="L671" s="320"/>
      <c r="M671" s="320"/>
      <c r="N671" s="320"/>
      <c r="O671" s="321"/>
      <c r="P671" s="321"/>
      <c r="Y671" s="326"/>
      <c r="Z671" s="326"/>
      <c r="AA671" s="326"/>
      <c r="AB671" s="326"/>
      <c r="AC671" s="326"/>
      <c r="AD671" s="326"/>
      <c r="AG671" s="326"/>
      <c r="AH671" s="326"/>
      <c r="AI671" s="326"/>
      <c r="AL671" s="326"/>
      <c r="AM671" s="326"/>
      <c r="AN671" s="326"/>
    </row>
    <row r="672" spans="1:40" x14ac:dyDescent="0.15">
      <c r="A672" s="318"/>
      <c r="B672" s="320"/>
      <c r="C672" s="320"/>
      <c r="D672" s="320"/>
      <c r="E672" s="320"/>
      <c r="F672" s="320"/>
      <c r="G672" s="320"/>
      <c r="H672" s="320"/>
      <c r="I672" s="320"/>
      <c r="J672" s="320"/>
      <c r="K672" s="320"/>
      <c r="L672" s="320"/>
      <c r="M672" s="320"/>
      <c r="N672" s="320"/>
      <c r="O672" s="321"/>
      <c r="P672" s="321"/>
      <c r="Y672" s="326"/>
      <c r="Z672" s="326"/>
      <c r="AA672" s="326"/>
      <c r="AB672" s="326"/>
      <c r="AC672" s="326"/>
      <c r="AD672" s="326"/>
      <c r="AG672" s="326"/>
      <c r="AH672" s="326"/>
      <c r="AI672" s="326"/>
      <c r="AL672" s="326"/>
      <c r="AM672" s="326"/>
      <c r="AN672" s="326"/>
    </row>
    <row r="673" spans="1:40" x14ac:dyDescent="0.15">
      <c r="A673" s="318"/>
      <c r="B673" s="320"/>
      <c r="C673" s="320"/>
      <c r="D673" s="320"/>
      <c r="E673" s="320"/>
      <c r="F673" s="320"/>
      <c r="G673" s="320"/>
      <c r="H673" s="320"/>
      <c r="I673" s="320"/>
      <c r="J673" s="320"/>
      <c r="K673" s="320"/>
      <c r="L673" s="320"/>
      <c r="M673" s="320"/>
      <c r="N673" s="320"/>
      <c r="O673" s="321"/>
      <c r="P673" s="321"/>
      <c r="Y673" s="326"/>
      <c r="Z673" s="326"/>
      <c r="AA673" s="326"/>
      <c r="AB673" s="326"/>
      <c r="AC673" s="326"/>
      <c r="AD673" s="326"/>
      <c r="AG673" s="326"/>
      <c r="AH673" s="326"/>
      <c r="AI673" s="326"/>
      <c r="AL673" s="326"/>
      <c r="AM673" s="326"/>
      <c r="AN673" s="326"/>
    </row>
    <row r="674" spans="1:40" x14ac:dyDescent="0.15">
      <c r="A674" s="318"/>
      <c r="B674" s="320"/>
      <c r="C674" s="320"/>
      <c r="D674" s="320"/>
      <c r="E674" s="320"/>
      <c r="F674" s="320"/>
      <c r="G674" s="320"/>
      <c r="H674" s="320"/>
      <c r="I674" s="320"/>
      <c r="J674" s="320"/>
      <c r="K674" s="320"/>
      <c r="L674" s="320"/>
      <c r="M674" s="320"/>
      <c r="N674" s="320"/>
      <c r="O674" s="321"/>
      <c r="P674" s="321"/>
      <c r="Y674" s="326"/>
      <c r="Z674" s="326"/>
      <c r="AA674" s="326"/>
      <c r="AB674" s="326"/>
      <c r="AC674" s="326"/>
      <c r="AD674" s="326"/>
      <c r="AG674" s="326"/>
      <c r="AH674" s="326"/>
      <c r="AI674" s="326"/>
      <c r="AL674" s="326"/>
      <c r="AM674" s="326"/>
      <c r="AN674" s="326"/>
    </row>
    <row r="675" spans="1:40" x14ac:dyDescent="0.15">
      <c r="A675" s="318"/>
      <c r="B675" s="320"/>
      <c r="C675" s="320"/>
      <c r="D675" s="320"/>
      <c r="E675" s="320"/>
      <c r="F675" s="320"/>
      <c r="G675" s="320"/>
      <c r="H675" s="320"/>
      <c r="I675" s="320"/>
      <c r="J675" s="320"/>
      <c r="K675" s="320"/>
      <c r="L675" s="320"/>
      <c r="M675" s="320"/>
      <c r="N675" s="320"/>
      <c r="O675" s="321"/>
      <c r="P675" s="321"/>
      <c r="Y675" s="326"/>
      <c r="Z675" s="326"/>
      <c r="AA675" s="326"/>
      <c r="AB675" s="326"/>
      <c r="AC675" s="326"/>
      <c r="AD675" s="326"/>
      <c r="AG675" s="326"/>
      <c r="AH675" s="326"/>
      <c r="AI675" s="326"/>
      <c r="AL675" s="326"/>
      <c r="AM675" s="326"/>
      <c r="AN675" s="326"/>
    </row>
    <row r="676" spans="1:40" x14ac:dyDescent="0.15">
      <c r="A676" s="318"/>
      <c r="B676" s="320"/>
      <c r="C676" s="320"/>
      <c r="D676" s="320"/>
      <c r="E676" s="320"/>
      <c r="F676" s="320"/>
      <c r="G676" s="320"/>
      <c r="H676" s="320"/>
      <c r="I676" s="320"/>
      <c r="J676" s="320"/>
      <c r="K676" s="320"/>
      <c r="L676" s="320"/>
      <c r="M676" s="320"/>
      <c r="N676" s="320"/>
      <c r="O676" s="321"/>
      <c r="P676" s="321"/>
      <c r="Y676" s="326"/>
      <c r="Z676" s="326"/>
      <c r="AA676" s="326"/>
      <c r="AB676" s="326"/>
      <c r="AC676" s="326"/>
      <c r="AD676" s="326"/>
      <c r="AG676" s="326"/>
      <c r="AH676" s="326"/>
      <c r="AI676" s="326"/>
      <c r="AL676" s="326"/>
      <c r="AM676" s="326"/>
      <c r="AN676" s="326"/>
    </row>
    <row r="677" spans="1:40" x14ac:dyDescent="0.15">
      <c r="A677" s="318"/>
      <c r="B677" s="320"/>
      <c r="C677" s="320"/>
      <c r="D677" s="320"/>
      <c r="E677" s="320"/>
      <c r="F677" s="320"/>
      <c r="G677" s="320"/>
      <c r="H677" s="320"/>
      <c r="I677" s="320"/>
      <c r="J677" s="320"/>
      <c r="K677" s="320"/>
      <c r="L677" s="320"/>
      <c r="M677" s="320"/>
      <c r="N677" s="320"/>
      <c r="O677" s="321"/>
      <c r="P677" s="321"/>
      <c r="Y677" s="326"/>
      <c r="Z677" s="326"/>
      <c r="AA677" s="326"/>
      <c r="AB677" s="326"/>
      <c r="AC677" s="326"/>
      <c r="AD677" s="326"/>
      <c r="AG677" s="326"/>
      <c r="AH677" s="326"/>
      <c r="AI677" s="326"/>
      <c r="AL677" s="326"/>
      <c r="AM677" s="326"/>
      <c r="AN677" s="326"/>
    </row>
    <row r="678" spans="1:40" x14ac:dyDescent="0.15">
      <c r="A678" s="318"/>
      <c r="B678" s="320"/>
      <c r="C678" s="320"/>
      <c r="D678" s="320"/>
      <c r="E678" s="320"/>
      <c r="F678" s="320"/>
      <c r="G678" s="320"/>
      <c r="H678" s="320"/>
      <c r="I678" s="320"/>
      <c r="J678" s="320"/>
      <c r="K678" s="320"/>
      <c r="L678" s="320"/>
      <c r="M678" s="320"/>
      <c r="N678" s="320"/>
      <c r="O678" s="321"/>
      <c r="P678" s="321"/>
      <c r="Y678" s="326"/>
      <c r="Z678" s="326"/>
      <c r="AA678" s="326"/>
      <c r="AB678" s="326"/>
      <c r="AC678" s="326"/>
      <c r="AD678" s="326"/>
      <c r="AG678" s="326"/>
      <c r="AH678" s="326"/>
      <c r="AI678" s="326"/>
      <c r="AL678" s="326"/>
      <c r="AM678" s="326"/>
      <c r="AN678" s="326"/>
    </row>
    <row r="679" spans="1:40" x14ac:dyDescent="0.15">
      <c r="A679" s="318"/>
      <c r="B679" s="320"/>
      <c r="C679" s="320"/>
      <c r="D679" s="320"/>
      <c r="E679" s="320"/>
      <c r="F679" s="320"/>
      <c r="G679" s="320"/>
      <c r="H679" s="320"/>
      <c r="I679" s="320"/>
      <c r="J679" s="320"/>
      <c r="K679" s="320"/>
      <c r="L679" s="320"/>
      <c r="M679" s="320"/>
      <c r="N679" s="320"/>
      <c r="O679" s="321"/>
      <c r="P679" s="321"/>
      <c r="Y679" s="326"/>
      <c r="Z679" s="326"/>
      <c r="AA679" s="326"/>
      <c r="AB679" s="326"/>
      <c r="AC679" s="326"/>
      <c r="AD679" s="326"/>
      <c r="AG679" s="326"/>
      <c r="AH679" s="326"/>
      <c r="AI679" s="326"/>
      <c r="AL679" s="326"/>
      <c r="AM679" s="326"/>
      <c r="AN679" s="326"/>
    </row>
    <row r="680" spans="1:40" x14ac:dyDescent="0.15">
      <c r="A680" s="318"/>
      <c r="B680" s="320"/>
      <c r="C680" s="320"/>
      <c r="D680" s="320"/>
      <c r="E680" s="320"/>
      <c r="F680" s="320"/>
      <c r="G680" s="320"/>
      <c r="H680" s="320"/>
      <c r="I680" s="320"/>
      <c r="J680" s="320"/>
      <c r="K680" s="320"/>
      <c r="L680" s="320"/>
      <c r="M680" s="320"/>
      <c r="N680" s="320"/>
      <c r="O680" s="321"/>
      <c r="P680" s="321"/>
      <c r="Y680" s="326"/>
      <c r="Z680" s="326"/>
      <c r="AA680" s="326"/>
      <c r="AB680" s="326"/>
      <c r="AC680" s="326"/>
      <c r="AD680" s="326"/>
      <c r="AG680" s="326"/>
      <c r="AH680" s="326"/>
      <c r="AI680" s="326"/>
      <c r="AL680" s="326"/>
      <c r="AM680" s="326"/>
      <c r="AN680" s="326"/>
    </row>
    <row r="681" spans="1:40" x14ac:dyDescent="0.15">
      <c r="A681" s="318"/>
      <c r="B681" s="320"/>
      <c r="C681" s="320"/>
      <c r="D681" s="320"/>
      <c r="E681" s="320"/>
      <c r="F681" s="320"/>
      <c r="G681" s="320"/>
      <c r="H681" s="320"/>
      <c r="I681" s="320"/>
      <c r="J681" s="320"/>
      <c r="K681" s="320"/>
      <c r="L681" s="320"/>
      <c r="M681" s="320"/>
      <c r="N681" s="320"/>
      <c r="O681" s="321"/>
      <c r="P681" s="321"/>
      <c r="Y681" s="326"/>
      <c r="Z681" s="326"/>
      <c r="AA681" s="326"/>
      <c r="AB681" s="326"/>
      <c r="AC681" s="326"/>
      <c r="AD681" s="326"/>
      <c r="AG681" s="326"/>
      <c r="AH681" s="326"/>
      <c r="AI681" s="326"/>
      <c r="AL681" s="326"/>
      <c r="AM681" s="326"/>
      <c r="AN681" s="326"/>
    </row>
    <row r="682" spans="1:40" x14ac:dyDescent="0.15">
      <c r="A682" s="318"/>
      <c r="B682" s="320"/>
      <c r="C682" s="320"/>
      <c r="D682" s="320"/>
      <c r="E682" s="320"/>
      <c r="F682" s="320"/>
      <c r="G682" s="320"/>
      <c r="H682" s="320"/>
      <c r="I682" s="320"/>
      <c r="J682" s="320"/>
      <c r="K682" s="320"/>
      <c r="L682" s="320"/>
      <c r="M682" s="320"/>
      <c r="N682" s="320"/>
      <c r="O682" s="321"/>
      <c r="P682" s="321"/>
      <c r="Y682" s="326"/>
      <c r="Z682" s="326"/>
      <c r="AA682" s="326"/>
      <c r="AB682" s="326"/>
      <c r="AC682" s="326"/>
      <c r="AD682" s="326"/>
      <c r="AG682" s="326"/>
      <c r="AH682" s="326"/>
      <c r="AI682" s="326"/>
      <c r="AL682" s="326"/>
      <c r="AM682" s="326"/>
      <c r="AN682" s="326"/>
    </row>
    <row r="683" spans="1:40" x14ac:dyDescent="0.15">
      <c r="A683" s="318"/>
      <c r="B683" s="320"/>
      <c r="C683" s="320"/>
      <c r="D683" s="320"/>
      <c r="E683" s="320"/>
      <c r="F683" s="320"/>
      <c r="G683" s="320"/>
      <c r="H683" s="320"/>
      <c r="I683" s="320"/>
      <c r="J683" s="320"/>
      <c r="K683" s="320"/>
      <c r="L683" s="320"/>
      <c r="M683" s="320"/>
      <c r="N683" s="320"/>
      <c r="O683" s="321"/>
      <c r="P683" s="321"/>
      <c r="Y683" s="326"/>
      <c r="Z683" s="326"/>
      <c r="AA683" s="326"/>
      <c r="AB683" s="326"/>
      <c r="AC683" s="326"/>
      <c r="AD683" s="326"/>
      <c r="AG683" s="326"/>
      <c r="AH683" s="326"/>
      <c r="AI683" s="326"/>
      <c r="AL683" s="326"/>
      <c r="AM683" s="326"/>
      <c r="AN683" s="326"/>
    </row>
    <row r="684" spans="1:40" x14ac:dyDescent="0.15">
      <c r="A684" s="318"/>
      <c r="B684" s="320"/>
      <c r="C684" s="320"/>
      <c r="D684" s="320"/>
      <c r="E684" s="320"/>
      <c r="F684" s="320"/>
      <c r="G684" s="320"/>
      <c r="H684" s="320"/>
      <c r="I684" s="320"/>
      <c r="J684" s="320"/>
      <c r="K684" s="320"/>
      <c r="L684" s="320"/>
      <c r="M684" s="320"/>
      <c r="N684" s="320"/>
      <c r="O684" s="321"/>
      <c r="P684" s="321"/>
      <c r="Y684" s="326"/>
      <c r="Z684" s="326"/>
      <c r="AA684" s="326"/>
      <c r="AB684" s="326"/>
      <c r="AC684" s="326"/>
      <c r="AD684" s="326"/>
      <c r="AG684" s="326"/>
      <c r="AH684" s="326"/>
      <c r="AI684" s="326"/>
      <c r="AL684" s="326"/>
      <c r="AM684" s="326"/>
      <c r="AN684" s="326"/>
    </row>
    <row r="685" spans="1:40" x14ac:dyDescent="0.15">
      <c r="A685" s="318"/>
      <c r="B685" s="320"/>
      <c r="C685" s="320"/>
      <c r="D685" s="320"/>
      <c r="E685" s="320"/>
      <c r="F685" s="320"/>
      <c r="G685" s="320"/>
      <c r="H685" s="320"/>
      <c r="I685" s="320"/>
      <c r="J685" s="320"/>
      <c r="K685" s="320"/>
      <c r="L685" s="320"/>
      <c r="M685" s="320"/>
      <c r="N685" s="320"/>
      <c r="O685" s="321"/>
      <c r="P685" s="321"/>
      <c r="Y685" s="326"/>
      <c r="Z685" s="326"/>
      <c r="AA685" s="326"/>
      <c r="AB685" s="326"/>
      <c r="AC685" s="326"/>
      <c r="AD685" s="326"/>
      <c r="AG685" s="326"/>
      <c r="AH685" s="326"/>
      <c r="AI685" s="326"/>
      <c r="AL685" s="326"/>
      <c r="AM685" s="326"/>
      <c r="AN685" s="326"/>
    </row>
    <row r="686" spans="1:40" x14ac:dyDescent="0.15">
      <c r="A686" s="318"/>
      <c r="B686" s="320"/>
      <c r="C686" s="320"/>
      <c r="D686" s="320"/>
      <c r="E686" s="320"/>
      <c r="F686" s="320"/>
      <c r="G686" s="320"/>
      <c r="H686" s="320"/>
      <c r="I686" s="320"/>
      <c r="J686" s="320"/>
      <c r="K686" s="320"/>
      <c r="L686" s="320"/>
      <c r="M686" s="320"/>
      <c r="N686" s="320"/>
      <c r="O686" s="321"/>
      <c r="P686" s="321"/>
      <c r="Y686" s="326"/>
      <c r="Z686" s="326"/>
      <c r="AA686" s="326"/>
      <c r="AB686" s="326"/>
      <c r="AC686" s="326"/>
      <c r="AD686" s="326"/>
      <c r="AG686" s="326"/>
      <c r="AH686" s="326"/>
      <c r="AI686" s="326"/>
      <c r="AL686" s="326"/>
      <c r="AM686" s="326"/>
      <c r="AN686" s="326"/>
    </row>
    <row r="687" spans="1:40" x14ac:dyDescent="0.15">
      <c r="A687" s="318"/>
      <c r="B687" s="320"/>
      <c r="C687" s="320"/>
      <c r="D687" s="320"/>
      <c r="E687" s="320"/>
      <c r="F687" s="320"/>
      <c r="G687" s="320"/>
      <c r="H687" s="320"/>
      <c r="I687" s="320"/>
      <c r="J687" s="320"/>
      <c r="K687" s="320"/>
      <c r="L687" s="320"/>
      <c r="M687" s="320"/>
      <c r="N687" s="320"/>
      <c r="O687" s="321"/>
      <c r="P687" s="321"/>
      <c r="Y687" s="326"/>
      <c r="Z687" s="326"/>
      <c r="AA687" s="326"/>
      <c r="AB687" s="326"/>
      <c r="AC687" s="326"/>
      <c r="AD687" s="326"/>
      <c r="AG687" s="326"/>
      <c r="AH687" s="326"/>
      <c r="AI687" s="326"/>
      <c r="AL687" s="326"/>
      <c r="AM687" s="326"/>
      <c r="AN687" s="326"/>
    </row>
    <row r="688" spans="1:40" x14ac:dyDescent="0.15">
      <c r="A688" s="318"/>
      <c r="B688" s="320"/>
      <c r="C688" s="320"/>
      <c r="D688" s="320"/>
      <c r="E688" s="320"/>
      <c r="F688" s="320"/>
      <c r="G688" s="320"/>
      <c r="H688" s="320"/>
      <c r="I688" s="320"/>
      <c r="J688" s="320"/>
      <c r="K688" s="320"/>
      <c r="L688" s="320"/>
      <c r="M688" s="320"/>
      <c r="N688" s="320"/>
      <c r="O688" s="321"/>
      <c r="P688" s="321"/>
      <c r="Y688" s="326"/>
      <c r="Z688" s="326"/>
      <c r="AA688" s="326"/>
      <c r="AB688" s="326"/>
      <c r="AC688" s="326"/>
      <c r="AD688" s="326"/>
      <c r="AG688" s="326"/>
      <c r="AH688" s="326"/>
      <c r="AI688" s="326"/>
      <c r="AL688" s="326"/>
      <c r="AM688" s="326"/>
      <c r="AN688" s="326"/>
    </row>
    <row r="689" spans="1:40" x14ac:dyDescent="0.15">
      <c r="A689" s="318"/>
      <c r="B689" s="320"/>
      <c r="C689" s="320"/>
      <c r="D689" s="320"/>
      <c r="E689" s="320"/>
      <c r="F689" s="320"/>
      <c r="G689" s="320"/>
      <c r="H689" s="320"/>
      <c r="I689" s="320"/>
      <c r="J689" s="320"/>
      <c r="K689" s="320"/>
      <c r="L689" s="320"/>
      <c r="M689" s="320"/>
      <c r="N689" s="320"/>
      <c r="O689" s="321"/>
      <c r="P689" s="321"/>
      <c r="Y689" s="326"/>
      <c r="Z689" s="326"/>
      <c r="AA689" s="326"/>
      <c r="AB689" s="326"/>
      <c r="AC689" s="326"/>
      <c r="AD689" s="326"/>
      <c r="AG689" s="326"/>
      <c r="AH689" s="326"/>
      <c r="AI689" s="326"/>
      <c r="AL689" s="326"/>
      <c r="AM689" s="326"/>
      <c r="AN689" s="326"/>
    </row>
    <row r="690" spans="1:40" x14ac:dyDescent="0.15">
      <c r="A690" s="318"/>
      <c r="B690" s="320"/>
      <c r="C690" s="320"/>
      <c r="D690" s="320"/>
      <c r="E690" s="320"/>
      <c r="F690" s="320"/>
      <c r="G690" s="320"/>
      <c r="H690" s="320"/>
      <c r="I690" s="320"/>
      <c r="J690" s="320"/>
      <c r="K690" s="320"/>
      <c r="L690" s="320"/>
      <c r="M690" s="320"/>
      <c r="N690" s="320"/>
      <c r="O690" s="321"/>
      <c r="P690" s="321"/>
      <c r="Y690" s="326"/>
      <c r="Z690" s="326"/>
      <c r="AA690" s="326"/>
      <c r="AB690" s="326"/>
      <c r="AC690" s="326"/>
      <c r="AD690" s="326"/>
      <c r="AG690" s="326"/>
      <c r="AH690" s="326"/>
      <c r="AI690" s="326"/>
      <c r="AL690" s="326"/>
      <c r="AM690" s="326"/>
      <c r="AN690" s="326"/>
    </row>
    <row r="691" spans="1:40" x14ac:dyDescent="0.15">
      <c r="A691" s="318"/>
      <c r="B691" s="320"/>
      <c r="C691" s="320"/>
      <c r="D691" s="320"/>
      <c r="E691" s="320"/>
      <c r="F691" s="320"/>
      <c r="G691" s="320"/>
      <c r="H691" s="320"/>
      <c r="I691" s="320"/>
      <c r="J691" s="320"/>
      <c r="K691" s="320"/>
      <c r="L691" s="320"/>
      <c r="M691" s="320"/>
      <c r="N691" s="320"/>
      <c r="O691" s="321"/>
      <c r="P691" s="321"/>
      <c r="Y691" s="326"/>
      <c r="Z691" s="326"/>
      <c r="AA691" s="326"/>
      <c r="AB691" s="326"/>
      <c r="AC691" s="326"/>
      <c r="AD691" s="326"/>
      <c r="AG691" s="326"/>
      <c r="AH691" s="326"/>
      <c r="AI691" s="326"/>
      <c r="AL691" s="326"/>
      <c r="AM691" s="326"/>
      <c r="AN691" s="326"/>
    </row>
    <row r="692" spans="1:40" x14ac:dyDescent="0.15">
      <c r="A692" s="318"/>
      <c r="B692" s="320"/>
      <c r="C692" s="320"/>
      <c r="D692" s="320"/>
      <c r="E692" s="320"/>
      <c r="F692" s="320"/>
      <c r="G692" s="320"/>
      <c r="H692" s="320"/>
      <c r="I692" s="320"/>
      <c r="J692" s="320"/>
      <c r="K692" s="320"/>
      <c r="L692" s="320"/>
      <c r="M692" s="320"/>
      <c r="N692" s="320"/>
      <c r="O692" s="321"/>
      <c r="P692" s="321"/>
      <c r="Y692" s="326"/>
      <c r="Z692" s="326"/>
      <c r="AA692" s="326"/>
      <c r="AB692" s="326"/>
      <c r="AC692" s="326"/>
      <c r="AD692" s="326"/>
      <c r="AG692" s="326"/>
      <c r="AH692" s="326"/>
      <c r="AI692" s="326"/>
      <c r="AL692" s="326"/>
      <c r="AM692" s="326"/>
      <c r="AN692" s="326"/>
    </row>
    <row r="693" spans="1:40" x14ac:dyDescent="0.15">
      <c r="A693" s="318"/>
      <c r="B693" s="320"/>
      <c r="C693" s="320"/>
      <c r="D693" s="320"/>
      <c r="E693" s="320"/>
      <c r="F693" s="320"/>
      <c r="G693" s="320"/>
      <c r="H693" s="320"/>
      <c r="I693" s="320"/>
      <c r="J693" s="320"/>
      <c r="K693" s="320"/>
      <c r="L693" s="320"/>
      <c r="M693" s="320"/>
      <c r="N693" s="320"/>
      <c r="O693" s="321"/>
      <c r="P693" s="321"/>
      <c r="Y693" s="326"/>
      <c r="Z693" s="326"/>
      <c r="AA693" s="326"/>
      <c r="AB693" s="326"/>
      <c r="AC693" s="326"/>
      <c r="AD693" s="326"/>
      <c r="AG693" s="326"/>
      <c r="AH693" s="326"/>
      <c r="AI693" s="326"/>
      <c r="AL693" s="326"/>
      <c r="AM693" s="326"/>
      <c r="AN693" s="326"/>
    </row>
    <row r="694" spans="1:40" x14ac:dyDescent="0.15">
      <c r="A694" s="318"/>
      <c r="B694" s="320"/>
      <c r="C694" s="320"/>
      <c r="D694" s="320"/>
      <c r="E694" s="320"/>
      <c r="F694" s="320"/>
      <c r="G694" s="320"/>
      <c r="H694" s="320"/>
      <c r="I694" s="320"/>
      <c r="J694" s="320"/>
      <c r="K694" s="320"/>
      <c r="L694" s="320"/>
      <c r="M694" s="320"/>
      <c r="N694" s="320"/>
      <c r="O694" s="321"/>
      <c r="P694" s="321"/>
      <c r="Y694" s="326"/>
      <c r="Z694" s="326"/>
      <c r="AA694" s="326"/>
      <c r="AB694" s="326"/>
      <c r="AC694" s="326"/>
      <c r="AD694" s="326"/>
      <c r="AG694" s="326"/>
      <c r="AH694" s="326"/>
      <c r="AI694" s="326"/>
      <c r="AL694" s="326"/>
      <c r="AM694" s="326"/>
      <c r="AN694" s="326"/>
    </row>
    <row r="695" spans="1:40" x14ac:dyDescent="0.15">
      <c r="A695" s="318"/>
      <c r="B695" s="320"/>
      <c r="C695" s="320"/>
      <c r="D695" s="320"/>
      <c r="E695" s="320"/>
      <c r="F695" s="320"/>
      <c r="G695" s="320"/>
      <c r="H695" s="320"/>
      <c r="I695" s="320"/>
      <c r="J695" s="320"/>
      <c r="K695" s="320"/>
      <c r="L695" s="320"/>
      <c r="M695" s="320"/>
      <c r="N695" s="320"/>
      <c r="O695" s="321"/>
      <c r="P695" s="321"/>
      <c r="Y695" s="326"/>
      <c r="Z695" s="326"/>
      <c r="AA695" s="326"/>
      <c r="AB695" s="326"/>
      <c r="AC695" s="326"/>
      <c r="AD695" s="326"/>
      <c r="AG695" s="326"/>
      <c r="AH695" s="326"/>
      <c r="AI695" s="326"/>
      <c r="AL695" s="326"/>
      <c r="AM695" s="326"/>
      <c r="AN695" s="326"/>
    </row>
    <row r="696" spans="1:40" x14ac:dyDescent="0.15">
      <c r="A696" s="318"/>
      <c r="B696" s="320"/>
      <c r="C696" s="320"/>
      <c r="D696" s="320"/>
      <c r="E696" s="320"/>
      <c r="F696" s="320"/>
      <c r="G696" s="320"/>
      <c r="H696" s="320"/>
      <c r="I696" s="320"/>
      <c r="J696" s="320"/>
      <c r="K696" s="320"/>
      <c r="L696" s="320"/>
      <c r="M696" s="320"/>
      <c r="N696" s="320"/>
      <c r="O696" s="321"/>
      <c r="P696" s="321"/>
      <c r="Y696" s="326"/>
      <c r="Z696" s="326"/>
      <c r="AA696" s="326"/>
      <c r="AB696" s="326"/>
      <c r="AC696" s="326"/>
      <c r="AD696" s="326"/>
      <c r="AG696" s="326"/>
      <c r="AH696" s="326"/>
      <c r="AI696" s="326"/>
      <c r="AL696" s="326"/>
      <c r="AM696" s="326"/>
      <c r="AN696" s="326"/>
    </row>
    <row r="697" spans="1:40" x14ac:dyDescent="0.15">
      <c r="A697" s="318"/>
      <c r="B697" s="320"/>
      <c r="C697" s="320"/>
      <c r="D697" s="320"/>
      <c r="E697" s="320"/>
      <c r="F697" s="320"/>
      <c r="G697" s="320"/>
      <c r="H697" s="320"/>
      <c r="I697" s="320"/>
      <c r="J697" s="320"/>
      <c r="K697" s="320"/>
      <c r="L697" s="320"/>
      <c r="M697" s="320"/>
      <c r="N697" s="320"/>
      <c r="O697" s="321"/>
      <c r="P697" s="321"/>
      <c r="Y697" s="326"/>
      <c r="Z697" s="326"/>
      <c r="AA697" s="326"/>
      <c r="AB697" s="326"/>
      <c r="AC697" s="326"/>
      <c r="AD697" s="326"/>
      <c r="AG697" s="326"/>
      <c r="AH697" s="326"/>
      <c r="AI697" s="326"/>
      <c r="AL697" s="326"/>
      <c r="AM697" s="326"/>
      <c r="AN697" s="326"/>
    </row>
    <row r="698" spans="1:40" x14ac:dyDescent="0.15">
      <c r="A698" s="318"/>
      <c r="B698" s="320"/>
      <c r="C698" s="320"/>
      <c r="D698" s="320"/>
      <c r="E698" s="320"/>
      <c r="F698" s="320"/>
      <c r="G698" s="320"/>
      <c r="H698" s="320"/>
      <c r="I698" s="320"/>
      <c r="J698" s="320"/>
      <c r="K698" s="320"/>
      <c r="L698" s="320"/>
      <c r="M698" s="320"/>
      <c r="N698" s="320"/>
      <c r="O698" s="321"/>
      <c r="P698" s="321"/>
      <c r="Y698" s="326"/>
      <c r="Z698" s="326"/>
      <c r="AA698" s="326"/>
      <c r="AB698" s="326"/>
      <c r="AC698" s="326"/>
      <c r="AD698" s="326"/>
      <c r="AG698" s="326"/>
      <c r="AH698" s="326"/>
      <c r="AI698" s="326"/>
      <c r="AL698" s="326"/>
      <c r="AM698" s="326"/>
      <c r="AN698" s="326"/>
    </row>
    <row r="699" spans="1:40" x14ac:dyDescent="0.15">
      <c r="A699" s="318"/>
      <c r="B699" s="320"/>
      <c r="C699" s="320"/>
      <c r="D699" s="320"/>
      <c r="E699" s="320"/>
      <c r="F699" s="320"/>
      <c r="G699" s="320"/>
      <c r="H699" s="320"/>
      <c r="I699" s="320"/>
      <c r="J699" s="320"/>
      <c r="K699" s="320"/>
      <c r="L699" s="320"/>
      <c r="M699" s="320"/>
      <c r="N699" s="320"/>
      <c r="O699" s="321"/>
      <c r="P699" s="321"/>
      <c r="Y699" s="326"/>
      <c r="Z699" s="326"/>
      <c r="AA699" s="326"/>
      <c r="AB699" s="326"/>
      <c r="AC699" s="326"/>
      <c r="AD699" s="326"/>
      <c r="AG699" s="326"/>
      <c r="AH699" s="326"/>
      <c r="AI699" s="326"/>
      <c r="AL699" s="326"/>
      <c r="AM699" s="326"/>
      <c r="AN699" s="326"/>
    </row>
    <row r="700" spans="1:40" x14ac:dyDescent="0.15">
      <c r="A700" s="318"/>
      <c r="B700" s="320"/>
      <c r="C700" s="320"/>
      <c r="D700" s="320"/>
      <c r="E700" s="320"/>
      <c r="F700" s="320"/>
      <c r="G700" s="320"/>
      <c r="H700" s="320"/>
      <c r="I700" s="320"/>
      <c r="J700" s="320"/>
      <c r="K700" s="320"/>
      <c r="L700" s="320"/>
      <c r="M700" s="320"/>
      <c r="N700" s="320"/>
      <c r="O700" s="321"/>
      <c r="P700" s="321"/>
      <c r="Y700" s="326"/>
      <c r="Z700" s="326"/>
      <c r="AA700" s="326"/>
      <c r="AB700" s="326"/>
      <c r="AC700" s="326"/>
      <c r="AD700" s="326"/>
      <c r="AG700" s="326"/>
      <c r="AH700" s="326"/>
      <c r="AI700" s="326"/>
      <c r="AL700" s="326"/>
      <c r="AM700" s="326"/>
      <c r="AN700" s="326"/>
    </row>
    <row r="701" spans="1:40" x14ac:dyDescent="0.15">
      <c r="A701" s="318"/>
      <c r="B701" s="320"/>
      <c r="C701" s="320"/>
      <c r="D701" s="320"/>
      <c r="E701" s="320"/>
      <c r="F701" s="320"/>
      <c r="G701" s="320"/>
      <c r="H701" s="320"/>
      <c r="I701" s="320"/>
      <c r="J701" s="320"/>
      <c r="K701" s="320"/>
      <c r="L701" s="320"/>
      <c r="M701" s="320"/>
      <c r="N701" s="320"/>
      <c r="O701" s="321"/>
      <c r="P701" s="321"/>
      <c r="Y701" s="326"/>
      <c r="Z701" s="326"/>
      <c r="AA701" s="326"/>
      <c r="AB701" s="326"/>
      <c r="AC701" s="326"/>
      <c r="AD701" s="326"/>
      <c r="AG701" s="326"/>
      <c r="AH701" s="326"/>
      <c r="AI701" s="326"/>
      <c r="AL701" s="326"/>
      <c r="AM701" s="326"/>
      <c r="AN701" s="326"/>
    </row>
    <row r="702" spans="1:40" x14ac:dyDescent="0.15">
      <c r="A702" s="318"/>
      <c r="B702" s="320"/>
      <c r="C702" s="320"/>
      <c r="D702" s="320"/>
      <c r="E702" s="320"/>
      <c r="F702" s="320"/>
      <c r="G702" s="320"/>
      <c r="H702" s="320"/>
      <c r="I702" s="320"/>
      <c r="J702" s="320"/>
      <c r="K702" s="320"/>
      <c r="L702" s="320"/>
      <c r="M702" s="320"/>
      <c r="N702" s="320"/>
      <c r="O702" s="321"/>
      <c r="P702" s="321"/>
      <c r="Y702" s="326"/>
      <c r="Z702" s="326"/>
      <c r="AA702" s="326"/>
      <c r="AB702" s="326"/>
      <c r="AC702" s="326"/>
      <c r="AD702" s="326"/>
      <c r="AG702" s="326"/>
      <c r="AH702" s="326"/>
      <c r="AI702" s="326"/>
      <c r="AL702" s="326"/>
      <c r="AM702" s="326"/>
      <c r="AN702" s="326"/>
    </row>
    <row r="703" spans="1:40" x14ac:dyDescent="0.15">
      <c r="A703" s="318"/>
      <c r="B703" s="320"/>
      <c r="C703" s="320"/>
      <c r="D703" s="320"/>
      <c r="E703" s="320"/>
      <c r="F703" s="320"/>
      <c r="G703" s="320"/>
      <c r="H703" s="320"/>
      <c r="I703" s="320"/>
      <c r="J703" s="320"/>
      <c r="K703" s="320"/>
      <c r="L703" s="320"/>
      <c r="M703" s="320"/>
      <c r="N703" s="320"/>
      <c r="O703" s="321"/>
      <c r="P703" s="321"/>
      <c r="Y703" s="326"/>
      <c r="AA703" s="326"/>
      <c r="AC703" s="326"/>
      <c r="AD703" s="326"/>
      <c r="AG703" s="326"/>
      <c r="AH703" s="326"/>
      <c r="AI703" s="326"/>
      <c r="AL703" s="326"/>
      <c r="AM703" s="326"/>
      <c r="AN703" s="326"/>
    </row>
    <row r="704" spans="1:40" x14ac:dyDescent="0.15">
      <c r="A704" s="318"/>
      <c r="B704" s="320"/>
      <c r="C704" s="320"/>
      <c r="D704" s="320"/>
      <c r="E704" s="320"/>
      <c r="F704" s="320"/>
      <c r="G704" s="320"/>
      <c r="H704" s="320"/>
      <c r="I704" s="320"/>
      <c r="J704" s="320"/>
      <c r="K704" s="320"/>
      <c r="L704" s="320"/>
      <c r="M704" s="320"/>
      <c r="N704" s="320"/>
      <c r="O704" s="321"/>
      <c r="P704" s="321"/>
      <c r="Y704" s="326"/>
      <c r="Z704" s="326"/>
      <c r="AA704" s="326"/>
      <c r="AC704" s="326"/>
      <c r="AD704" s="326"/>
      <c r="AG704" s="326"/>
      <c r="AH704" s="326"/>
      <c r="AI704" s="326"/>
      <c r="AL704" s="326"/>
      <c r="AM704" s="326"/>
      <c r="AN704" s="326"/>
    </row>
    <row r="705" spans="1:40" x14ac:dyDescent="0.15">
      <c r="A705" s="318"/>
      <c r="B705" s="320"/>
      <c r="C705" s="320"/>
      <c r="D705" s="320"/>
      <c r="E705" s="320"/>
      <c r="F705" s="320"/>
      <c r="G705" s="320"/>
      <c r="H705" s="320"/>
      <c r="I705" s="320"/>
      <c r="J705" s="320"/>
      <c r="K705" s="320"/>
      <c r="L705" s="320"/>
      <c r="M705" s="320"/>
      <c r="N705" s="320"/>
      <c r="O705" s="321"/>
      <c r="P705" s="321"/>
      <c r="Y705" s="326"/>
      <c r="Z705" s="326"/>
      <c r="AA705" s="326"/>
      <c r="AB705" s="326"/>
      <c r="AC705" s="326"/>
      <c r="AD705" s="326"/>
      <c r="AG705" s="326"/>
      <c r="AH705" s="326"/>
      <c r="AI705" s="326"/>
      <c r="AL705" s="326"/>
      <c r="AM705" s="326"/>
      <c r="AN705" s="326"/>
    </row>
    <row r="706" spans="1:40" x14ac:dyDescent="0.15">
      <c r="A706" s="318"/>
      <c r="B706" s="320"/>
      <c r="C706" s="320"/>
      <c r="D706" s="320"/>
      <c r="E706" s="320"/>
      <c r="F706" s="320"/>
      <c r="G706" s="320"/>
      <c r="H706" s="320"/>
      <c r="I706" s="320"/>
      <c r="J706" s="320"/>
      <c r="K706" s="320"/>
      <c r="L706" s="320"/>
      <c r="M706" s="320"/>
      <c r="N706" s="320"/>
      <c r="O706" s="321"/>
      <c r="P706" s="321"/>
      <c r="Y706" s="326"/>
      <c r="Z706" s="326"/>
      <c r="AA706" s="326"/>
      <c r="AB706" s="326"/>
      <c r="AC706" s="326"/>
      <c r="AD706" s="326"/>
      <c r="AG706" s="326"/>
      <c r="AH706" s="326"/>
      <c r="AI706" s="326"/>
      <c r="AL706" s="326"/>
      <c r="AM706" s="326"/>
      <c r="AN706" s="326"/>
    </row>
    <row r="707" spans="1:40" x14ac:dyDescent="0.15">
      <c r="A707" s="318"/>
      <c r="B707" s="320"/>
      <c r="C707" s="320"/>
      <c r="D707" s="320"/>
      <c r="E707" s="320"/>
      <c r="F707" s="320"/>
      <c r="G707" s="320"/>
      <c r="H707" s="320"/>
      <c r="I707" s="320"/>
      <c r="J707" s="320"/>
      <c r="K707" s="320"/>
      <c r="L707" s="320"/>
      <c r="M707" s="320"/>
      <c r="N707" s="320"/>
      <c r="O707" s="321"/>
      <c r="P707" s="321"/>
      <c r="Y707" s="326"/>
      <c r="Z707" s="326"/>
      <c r="AA707" s="326"/>
      <c r="AB707" s="326"/>
      <c r="AC707" s="326"/>
      <c r="AD707" s="326"/>
      <c r="AG707" s="326"/>
      <c r="AH707" s="326"/>
      <c r="AI707" s="326"/>
      <c r="AL707" s="326"/>
      <c r="AM707" s="326"/>
      <c r="AN707" s="326"/>
    </row>
    <row r="708" spans="1:40" x14ac:dyDescent="0.15">
      <c r="A708" s="318"/>
      <c r="B708" s="320"/>
      <c r="C708" s="320"/>
      <c r="D708" s="320"/>
      <c r="E708" s="320"/>
      <c r="F708" s="320"/>
      <c r="G708" s="320"/>
      <c r="H708" s="320"/>
      <c r="I708" s="320"/>
      <c r="J708" s="320"/>
      <c r="K708" s="320"/>
      <c r="L708" s="320"/>
      <c r="M708" s="320"/>
      <c r="N708" s="320"/>
      <c r="O708" s="321"/>
      <c r="P708" s="321"/>
      <c r="Y708" s="326"/>
      <c r="Z708" s="326"/>
      <c r="AA708" s="326"/>
      <c r="AB708" s="326"/>
      <c r="AC708" s="326"/>
      <c r="AD708" s="326"/>
      <c r="AG708" s="326"/>
      <c r="AH708" s="326"/>
      <c r="AI708" s="326"/>
      <c r="AL708" s="326"/>
      <c r="AM708" s="326"/>
      <c r="AN708" s="326"/>
    </row>
    <row r="709" spans="1:40" x14ac:dyDescent="0.15">
      <c r="A709" s="318"/>
      <c r="B709" s="320"/>
      <c r="C709" s="320"/>
      <c r="D709" s="320"/>
      <c r="E709" s="320"/>
      <c r="F709" s="320"/>
      <c r="G709" s="320"/>
      <c r="H709" s="320"/>
      <c r="I709" s="320"/>
      <c r="J709" s="320"/>
      <c r="K709" s="320"/>
      <c r="L709" s="320"/>
      <c r="M709" s="320"/>
      <c r="N709" s="320"/>
      <c r="O709" s="321"/>
      <c r="P709" s="321"/>
      <c r="Y709" s="326"/>
      <c r="Z709" s="326"/>
      <c r="AA709" s="326"/>
      <c r="AB709" s="326"/>
      <c r="AC709" s="326"/>
      <c r="AD709" s="326"/>
      <c r="AG709" s="326"/>
      <c r="AH709" s="326"/>
      <c r="AI709" s="326"/>
      <c r="AL709" s="326"/>
      <c r="AM709" s="326"/>
      <c r="AN709" s="326"/>
    </row>
    <row r="710" spans="1:40" x14ac:dyDescent="0.15">
      <c r="A710" s="318"/>
      <c r="B710" s="320"/>
      <c r="C710" s="320"/>
      <c r="D710" s="320"/>
      <c r="E710" s="320"/>
      <c r="F710" s="320"/>
      <c r="G710" s="320"/>
      <c r="H710" s="320"/>
      <c r="I710" s="320"/>
      <c r="J710" s="320"/>
      <c r="K710" s="320"/>
      <c r="L710" s="320"/>
      <c r="M710" s="320"/>
      <c r="N710" s="320"/>
      <c r="O710" s="321"/>
      <c r="P710" s="321"/>
      <c r="Y710" s="326"/>
      <c r="Z710" s="326"/>
      <c r="AA710" s="326"/>
      <c r="AB710" s="326"/>
      <c r="AC710" s="326"/>
      <c r="AD710" s="326"/>
      <c r="AG710" s="326"/>
      <c r="AH710" s="326"/>
      <c r="AI710" s="326"/>
      <c r="AL710" s="326"/>
      <c r="AM710" s="326"/>
      <c r="AN710" s="326"/>
    </row>
    <row r="711" spans="1:40" x14ac:dyDescent="0.15">
      <c r="A711" s="318"/>
      <c r="B711" s="320"/>
      <c r="C711" s="320"/>
      <c r="D711" s="320"/>
      <c r="E711" s="320"/>
      <c r="F711" s="320"/>
      <c r="G711" s="320"/>
      <c r="H711" s="320"/>
      <c r="I711" s="320"/>
      <c r="J711" s="320"/>
      <c r="K711" s="320"/>
      <c r="L711" s="320"/>
      <c r="M711" s="320"/>
      <c r="N711" s="320"/>
      <c r="O711" s="321"/>
      <c r="P711" s="321"/>
      <c r="Y711" s="326"/>
      <c r="Z711" s="326"/>
      <c r="AA711" s="326"/>
      <c r="AB711" s="326"/>
      <c r="AC711" s="326"/>
      <c r="AD711" s="326"/>
      <c r="AG711" s="326"/>
      <c r="AH711" s="326"/>
      <c r="AI711" s="326"/>
      <c r="AL711" s="326"/>
      <c r="AM711" s="326"/>
      <c r="AN711" s="326"/>
    </row>
    <row r="712" spans="1:40" x14ac:dyDescent="0.15">
      <c r="A712" s="318"/>
      <c r="B712" s="320"/>
      <c r="C712" s="320"/>
      <c r="D712" s="320"/>
      <c r="E712" s="320"/>
      <c r="F712" s="320"/>
      <c r="G712" s="320"/>
      <c r="H712" s="320"/>
      <c r="I712" s="320"/>
      <c r="J712" s="320"/>
      <c r="K712" s="320"/>
      <c r="L712" s="320"/>
      <c r="M712" s="320"/>
      <c r="N712" s="320"/>
      <c r="O712" s="321"/>
      <c r="P712" s="321"/>
      <c r="Y712" s="326"/>
      <c r="Z712" s="326"/>
      <c r="AA712" s="326"/>
      <c r="AB712" s="326"/>
      <c r="AC712" s="326"/>
      <c r="AD712" s="326"/>
      <c r="AG712" s="326"/>
      <c r="AH712" s="326"/>
      <c r="AI712" s="326"/>
      <c r="AL712" s="326"/>
      <c r="AM712" s="326"/>
      <c r="AN712" s="326"/>
    </row>
    <row r="713" spans="1:40" x14ac:dyDescent="0.15">
      <c r="A713" s="318"/>
      <c r="B713" s="320"/>
      <c r="C713" s="320"/>
      <c r="D713" s="320"/>
      <c r="E713" s="320"/>
      <c r="F713" s="320"/>
      <c r="G713" s="320"/>
      <c r="H713" s="320"/>
      <c r="I713" s="320"/>
      <c r="J713" s="320"/>
      <c r="K713" s="320"/>
      <c r="L713" s="320"/>
      <c r="M713" s="320"/>
      <c r="N713" s="320"/>
      <c r="O713" s="321"/>
      <c r="P713" s="321"/>
      <c r="Y713" s="326"/>
      <c r="Z713" s="326"/>
      <c r="AA713" s="326"/>
      <c r="AB713" s="326"/>
      <c r="AC713" s="326"/>
      <c r="AD713" s="326"/>
      <c r="AG713" s="326"/>
      <c r="AH713" s="326"/>
      <c r="AI713" s="326"/>
      <c r="AL713" s="326"/>
      <c r="AM713" s="326"/>
      <c r="AN713" s="326"/>
    </row>
    <row r="714" spans="1:40" x14ac:dyDescent="0.15">
      <c r="A714" s="318"/>
      <c r="B714" s="320"/>
      <c r="C714" s="320"/>
      <c r="D714" s="320"/>
      <c r="E714" s="320"/>
      <c r="F714" s="320"/>
      <c r="G714" s="320"/>
      <c r="H714" s="320"/>
      <c r="I714" s="320"/>
      <c r="J714" s="320"/>
      <c r="K714" s="320"/>
      <c r="L714" s="320"/>
      <c r="M714" s="320"/>
      <c r="N714" s="320"/>
      <c r="O714" s="321"/>
      <c r="P714" s="321"/>
      <c r="Y714" s="326"/>
      <c r="Z714" s="326"/>
      <c r="AA714" s="326"/>
      <c r="AB714" s="326"/>
      <c r="AC714" s="326"/>
      <c r="AD714" s="326"/>
      <c r="AG714" s="326"/>
      <c r="AH714" s="326"/>
      <c r="AI714" s="326"/>
      <c r="AL714" s="326"/>
      <c r="AM714" s="326"/>
      <c r="AN714" s="326"/>
    </row>
    <row r="715" spans="1:40" x14ac:dyDescent="0.15">
      <c r="A715" s="318"/>
      <c r="B715" s="320"/>
      <c r="C715" s="320"/>
      <c r="D715" s="320"/>
      <c r="E715" s="320"/>
      <c r="F715" s="320"/>
      <c r="G715" s="320"/>
      <c r="H715" s="320"/>
      <c r="I715" s="320"/>
      <c r="J715" s="320"/>
      <c r="K715" s="320"/>
      <c r="L715" s="320"/>
      <c r="M715" s="320"/>
      <c r="N715" s="320"/>
      <c r="O715" s="321"/>
      <c r="P715" s="321"/>
      <c r="Y715" s="326"/>
      <c r="Z715" s="326"/>
      <c r="AA715" s="326"/>
      <c r="AB715" s="326"/>
      <c r="AC715" s="326"/>
      <c r="AD715" s="326"/>
      <c r="AG715" s="326"/>
      <c r="AH715" s="326"/>
      <c r="AI715" s="326"/>
      <c r="AL715" s="326"/>
      <c r="AM715" s="326"/>
      <c r="AN715" s="326"/>
    </row>
    <row r="716" spans="1:40" x14ac:dyDescent="0.15">
      <c r="A716" s="318"/>
      <c r="B716" s="320"/>
      <c r="C716" s="320"/>
      <c r="D716" s="320"/>
      <c r="E716" s="320"/>
      <c r="F716" s="320"/>
      <c r="G716" s="320"/>
      <c r="H716" s="320"/>
      <c r="I716" s="320"/>
      <c r="J716" s="320"/>
      <c r="K716" s="320"/>
      <c r="L716" s="320"/>
      <c r="M716" s="320"/>
      <c r="N716" s="320"/>
      <c r="O716" s="321"/>
      <c r="P716" s="321"/>
      <c r="Y716" s="326"/>
      <c r="Z716" s="326"/>
      <c r="AA716" s="326"/>
      <c r="AB716" s="326"/>
      <c r="AC716" s="326"/>
      <c r="AD716" s="326"/>
      <c r="AG716" s="326"/>
      <c r="AH716" s="326"/>
      <c r="AI716" s="326"/>
      <c r="AL716" s="326"/>
      <c r="AM716" s="326"/>
      <c r="AN716" s="326"/>
    </row>
    <row r="717" spans="1:40" x14ac:dyDescent="0.15">
      <c r="A717" s="318"/>
      <c r="B717" s="320"/>
      <c r="C717" s="320"/>
      <c r="D717" s="320"/>
      <c r="E717" s="320"/>
      <c r="F717" s="320"/>
      <c r="G717" s="320"/>
      <c r="H717" s="320"/>
      <c r="I717" s="320"/>
      <c r="J717" s="320"/>
      <c r="K717" s="320"/>
      <c r="L717" s="320"/>
      <c r="M717" s="320"/>
      <c r="N717" s="320"/>
      <c r="O717" s="321"/>
      <c r="P717" s="321"/>
      <c r="Y717" s="326"/>
      <c r="Z717" s="326"/>
      <c r="AA717" s="326"/>
      <c r="AB717" s="326"/>
      <c r="AC717" s="326"/>
      <c r="AD717" s="326"/>
      <c r="AG717" s="326"/>
      <c r="AH717" s="326"/>
      <c r="AI717" s="326"/>
      <c r="AL717" s="326"/>
      <c r="AM717" s="326"/>
      <c r="AN717" s="326"/>
    </row>
    <row r="718" spans="1:40" x14ac:dyDescent="0.15">
      <c r="A718" s="318"/>
      <c r="B718" s="320"/>
      <c r="C718" s="320"/>
      <c r="D718" s="320"/>
      <c r="E718" s="320"/>
      <c r="F718" s="320"/>
      <c r="G718" s="320"/>
      <c r="H718" s="320"/>
      <c r="I718" s="320"/>
      <c r="J718" s="320"/>
      <c r="K718" s="320"/>
      <c r="L718" s="320"/>
      <c r="M718" s="320"/>
      <c r="N718" s="320"/>
      <c r="O718" s="321"/>
      <c r="P718" s="321"/>
      <c r="Y718" s="326"/>
      <c r="Z718" s="326"/>
      <c r="AA718" s="326"/>
      <c r="AB718" s="326"/>
      <c r="AC718" s="326"/>
      <c r="AD718" s="326"/>
      <c r="AG718" s="326"/>
      <c r="AH718" s="326"/>
      <c r="AI718" s="326"/>
      <c r="AL718" s="326"/>
      <c r="AM718" s="326"/>
      <c r="AN718" s="326"/>
    </row>
    <row r="719" spans="1:40" x14ac:dyDescent="0.15">
      <c r="A719" s="318"/>
      <c r="B719" s="320"/>
      <c r="C719" s="320"/>
      <c r="D719" s="320"/>
      <c r="E719" s="320"/>
      <c r="F719" s="320"/>
      <c r="G719" s="320"/>
      <c r="H719" s="320"/>
      <c r="I719" s="320"/>
      <c r="J719" s="320"/>
      <c r="K719" s="320"/>
      <c r="L719" s="320"/>
      <c r="M719" s="320"/>
      <c r="N719" s="320"/>
      <c r="O719" s="321"/>
      <c r="P719" s="321"/>
      <c r="Y719" s="326"/>
      <c r="Z719" s="326"/>
      <c r="AA719" s="326"/>
      <c r="AB719" s="326"/>
      <c r="AC719" s="326"/>
      <c r="AD719" s="326"/>
      <c r="AG719" s="326"/>
      <c r="AH719" s="326"/>
      <c r="AI719" s="326"/>
      <c r="AL719" s="326"/>
      <c r="AM719" s="326"/>
      <c r="AN719" s="326"/>
    </row>
    <row r="720" spans="1:40" x14ac:dyDescent="0.15">
      <c r="A720" s="318"/>
      <c r="B720" s="320"/>
      <c r="C720" s="320"/>
      <c r="D720" s="320"/>
      <c r="E720" s="320"/>
      <c r="F720" s="320"/>
      <c r="G720" s="320"/>
      <c r="H720" s="320"/>
      <c r="I720" s="320"/>
      <c r="J720" s="320"/>
      <c r="K720" s="320"/>
      <c r="L720" s="320"/>
      <c r="M720" s="320"/>
      <c r="N720" s="320"/>
      <c r="O720" s="321"/>
      <c r="P720" s="321"/>
      <c r="Y720" s="326"/>
      <c r="Z720" s="326"/>
      <c r="AA720" s="326"/>
      <c r="AB720" s="326"/>
      <c r="AC720" s="326"/>
      <c r="AD720" s="326"/>
      <c r="AG720" s="326"/>
      <c r="AH720" s="326"/>
      <c r="AI720" s="326"/>
      <c r="AL720" s="326"/>
      <c r="AM720" s="326"/>
      <c r="AN720" s="326"/>
    </row>
    <row r="721" spans="1:40" x14ac:dyDescent="0.15">
      <c r="A721" s="318"/>
      <c r="B721" s="320"/>
      <c r="C721" s="320"/>
      <c r="D721" s="320"/>
      <c r="E721" s="320"/>
      <c r="F721" s="320"/>
      <c r="G721" s="320"/>
      <c r="H721" s="320"/>
      <c r="I721" s="320"/>
      <c r="J721" s="320"/>
      <c r="K721" s="320"/>
      <c r="L721" s="320"/>
      <c r="M721" s="320"/>
      <c r="N721" s="320"/>
      <c r="O721" s="321"/>
      <c r="P721" s="321"/>
      <c r="Y721" s="326"/>
      <c r="Z721" s="326"/>
      <c r="AA721" s="326"/>
      <c r="AB721" s="326"/>
      <c r="AC721" s="326"/>
      <c r="AD721" s="326"/>
      <c r="AG721" s="326"/>
      <c r="AH721" s="326"/>
      <c r="AI721" s="326"/>
      <c r="AL721" s="326"/>
      <c r="AM721" s="326"/>
      <c r="AN721" s="326"/>
    </row>
    <row r="722" spans="1:40" x14ac:dyDescent="0.15">
      <c r="A722" s="318"/>
      <c r="B722" s="320"/>
      <c r="C722" s="320"/>
      <c r="D722" s="320"/>
      <c r="E722" s="320"/>
      <c r="F722" s="320"/>
      <c r="G722" s="320"/>
      <c r="H722" s="320"/>
      <c r="I722" s="320"/>
      <c r="J722" s="320"/>
      <c r="K722" s="320"/>
      <c r="L722" s="320"/>
      <c r="M722" s="320"/>
      <c r="N722" s="320"/>
      <c r="O722" s="321"/>
      <c r="P722" s="321"/>
      <c r="Y722" s="326"/>
      <c r="Z722" s="326"/>
      <c r="AA722" s="326"/>
      <c r="AB722" s="326"/>
      <c r="AC722" s="326"/>
      <c r="AD722" s="326"/>
      <c r="AG722" s="326"/>
      <c r="AH722" s="326"/>
      <c r="AI722" s="326"/>
      <c r="AL722" s="326"/>
      <c r="AM722" s="326"/>
      <c r="AN722" s="326"/>
    </row>
    <row r="723" spans="1:40" x14ac:dyDescent="0.15">
      <c r="A723" s="318"/>
      <c r="B723" s="320"/>
      <c r="C723" s="320"/>
      <c r="D723" s="320"/>
      <c r="E723" s="320"/>
      <c r="F723" s="320"/>
      <c r="G723" s="320"/>
      <c r="H723" s="320"/>
      <c r="I723" s="320"/>
      <c r="J723" s="320"/>
      <c r="K723" s="320"/>
      <c r="L723" s="320"/>
      <c r="M723" s="320"/>
      <c r="N723" s="320"/>
      <c r="O723" s="321"/>
      <c r="P723" s="321"/>
      <c r="Y723" s="326"/>
      <c r="Z723" s="326"/>
      <c r="AA723" s="326"/>
      <c r="AB723" s="326"/>
      <c r="AC723" s="326"/>
      <c r="AD723" s="326"/>
      <c r="AG723" s="326"/>
      <c r="AH723" s="326"/>
      <c r="AI723" s="326"/>
      <c r="AL723" s="326"/>
      <c r="AM723" s="326"/>
      <c r="AN723" s="326"/>
    </row>
    <row r="724" spans="1:40" x14ac:dyDescent="0.15">
      <c r="A724" s="318"/>
      <c r="B724" s="320"/>
      <c r="C724" s="320"/>
      <c r="D724" s="320"/>
      <c r="E724" s="320"/>
      <c r="F724" s="320"/>
      <c r="G724" s="320"/>
      <c r="H724" s="320"/>
      <c r="I724" s="320"/>
      <c r="J724" s="320"/>
      <c r="K724" s="320"/>
      <c r="L724" s="320"/>
      <c r="M724" s="320"/>
      <c r="N724" s="320"/>
      <c r="O724" s="321"/>
      <c r="P724" s="321"/>
      <c r="Y724" s="326"/>
      <c r="Z724" s="326"/>
      <c r="AA724" s="326"/>
      <c r="AB724" s="326"/>
      <c r="AC724" s="326"/>
      <c r="AD724" s="326"/>
      <c r="AG724" s="326"/>
      <c r="AH724" s="326"/>
      <c r="AI724" s="326"/>
      <c r="AL724" s="326"/>
      <c r="AM724" s="326"/>
      <c r="AN724" s="326"/>
    </row>
    <row r="725" spans="1:40" x14ac:dyDescent="0.15">
      <c r="A725" s="318"/>
      <c r="B725" s="320"/>
      <c r="C725" s="320"/>
      <c r="D725" s="320"/>
      <c r="E725" s="320"/>
      <c r="F725" s="320"/>
      <c r="G725" s="320"/>
      <c r="H725" s="320"/>
      <c r="I725" s="320"/>
      <c r="J725" s="320"/>
      <c r="K725" s="320"/>
      <c r="L725" s="320"/>
      <c r="M725" s="320"/>
      <c r="N725" s="320"/>
      <c r="O725" s="321"/>
      <c r="P725" s="321"/>
      <c r="Y725" s="326"/>
      <c r="Z725" s="326"/>
      <c r="AA725" s="326"/>
      <c r="AB725" s="326"/>
      <c r="AC725" s="326"/>
      <c r="AD725" s="326"/>
      <c r="AG725" s="326"/>
      <c r="AH725" s="326"/>
      <c r="AI725" s="326"/>
      <c r="AL725" s="326"/>
      <c r="AM725" s="326"/>
      <c r="AN725" s="326"/>
    </row>
    <row r="726" spans="1:40" x14ac:dyDescent="0.15">
      <c r="A726" s="318"/>
      <c r="B726" s="320"/>
      <c r="C726" s="320"/>
      <c r="D726" s="320"/>
      <c r="E726" s="320"/>
      <c r="F726" s="320"/>
      <c r="G726" s="320"/>
      <c r="H726" s="320"/>
      <c r="I726" s="320"/>
      <c r="J726" s="320"/>
      <c r="K726" s="320"/>
      <c r="L726" s="320"/>
      <c r="M726" s="320"/>
      <c r="N726" s="320"/>
      <c r="O726" s="321"/>
      <c r="P726" s="321"/>
      <c r="Y726" s="326"/>
      <c r="Z726" s="326"/>
      <c r="AA726" s="326"/>
      <c r="AB726" s="326"/>
      <c r="AC726" s="326"/>
      <c r="AD726" s="326"/>
      <c r="AG726" s="326"/>
      <c r="AH726" s="326"/>
      <c r="AI726" s="326"/>
      <c r="AL726" s="326"/>
      <c r="AM726" s="326"/>
      <c r="AN726" s="326"/>
    </row>
    <row r="727" spans="1:40" x14ac:dyDescent="0.15">
      <c r="A727" s="318"/>
      <c r="B727" s="320"/>
      <c r="C727" s="320"/>
      <c r="D727" s="320"/>
      <c r="E727" s="320"/>
      <c r="F727" s="320"/>
      <c r="G727" s="320"/>
      <c r="H727" s="320"/>
      <c r="I727" s="320"/>
      <c r="J727" s="320"/>
      <c r="K727" s="320"/>
      <c r="L727" s="320"/>
      <c r="M727" s="320"/>
      <c r="N727" s="320"/>
      <c r="O727" s="321"/>
      <c r="P727" s="321"/>
      <c r="Y727" s="326"/>
      <c r="Z727" s="326"/>
      <c r="AA727" s="326"/>
      <c r="AB727" s="326"/>
      <c r="AC727" s="326"/>
      <c r="AD727" s="326"/>
      <c r="AG727" s="326"/>
      <c r="AH727" s="326"/>
      <c r="AI727" s="326"/>
      <c r="AL727" s="326"/>
      <c r="AM727" s="326"/>
      <c r="AN727" s="326"/>
    </row>
    <row r="728" spans="1:40" x14ac:dyDescent="0.15">
      <c r="A728" s="318"/>
      <c r="B728" s="320"/>
      <c r="C728" s="320"/>
      <c r="D728" s="320"/>
      <c r="E728" s="320"/>
      <c r="F728" s="320"/>
      <c r="G728" s="320"/>
      <c r="H728" s="320"/>
      <c r="I728" s="320"/>
      <c r="J728" s="320"/>
      <c r="K728" s="320"/>
      <c r="L728" s="320"/>
      <c r="M728" s="320"/>
      <c r="N728" s="320"/>
      <c r="O728" s="321"/>
      <c r="P728" s="321"/>
      <c r="Y728" s="326"/>
      <c r="Z728" s="326"/>
      <c r="AA728" s="326"/>
      <c r="AB728" s="326"/>
      <c r="AC728" s="326"/>
      <c r="AD728" s="326"/>
      <c r="AG728" s="326"/>
      <c r="AH728" s="326"/>
      <c r="AI728" s="326"/>
      <c r="AL728" s="326"/>
      <c r="AM728" s="326"/>
      <c r="AN728" s="326"/>
    </row>
    <row r="729" spans="1:40" x14ac:dyDescent="0.15">
      <c r="A729" s="318"/>
      <c r="B729" s="320"/>
      <c r="C729" s="320"/>
      <c r="D729" s="320"/>
      <c r="E729" s="320"/>
      <c r="F729" s="320"/>
      <c r="G729" s="320"/>
      <c r="H729" s="320"/>
      <c r="I729" s="320"/>
      <c r="J729" s="320"/>
      <c r="K729" s="320"/>
      <c r="L729" s="320"/>
      <c r="M729" s="320"/>
      <c r="N729" s="320"/>
      <c r="O729" s="321"/>
      <c r="P729" s="321"/>
      <c r="Y729" s="326"/>
      <c r="Z729" s="326"/>
      <c r="AA729" s="326"/>
      <c r="AB729" s="326"/>
      <c r="AC729" s="326"/>
      <c r="AD729" s="326"/>
      <c r="AG729" s="326"/>
      <c r="AH729" s="326"/>
      <c r="AI729" s="326"/>
      <c r="AL729" s="326"/>
      <c r="AM729" s="326"/>
      <c r="AN729" s="326"/>
    </row>
    <row r="730" spans="1:40" x14ac:dyDescent="0.15">
      <c r="A730" s="318"/>
      <c r="B730" s="320"/>
      <c r="C730" s="320"/>
      <c r="D730" s="320"/>
      <c r="E730" s="320"/>
      <c r="F730" s="320"/>
      <c r="G730" s="320"/>
      <c r="H730" s="320"/>
      <c r="I730" s="320"/>
      <c r="J730" s="320"/>
      <c r="K730" s="320"/>
      <c r="L730" s="320"/>
      <c r="M730" s="320"/>
      <c r="N730" s="320"/>
      <c r="O730" s="321"/>
      <c r="P730" s="321"/>
      <c r="Y730" s="326"/>
      <c r="Z730" s="326"/>
      <c r="AA730" s="326"/>
      <c r="AB730" s="326"/>
      <c r="AC730" s="326"/>
      <c r="AD730" s="326"/>
      <c r="AG730" s="326"/>
      <c r="AH730" s="326"/>
      <c r="AI730" s="326"/>
      <c r="AL730" s="326"/>
      <c r="AM730" s="326"/>
      <c r="AN730" s="326"/>
    </row>
    <row r="731" spans="1:40" x14ac:dyDescent="0.15">
      <c r="A731" s="318"/>
      <c r="B731" s="320"/>
      <c r="C731" s="320"/>
      <c r="D731" s="320"/>
      <c r="E731" s="320"/>
      <c r="F731" s="320"/>
      <c r="G731" s="320"/>
      <c r="H731" s="320"/>
      <c r="I731" s="320"/>
      <c r="J731" s="320"/>
      <c r="K731" s="320"/>
      <c r="L731" s="320"/>
      <c r="M731" s="320"/>
      <c r="N731" s="320"/>
      <c r="O731" s="321"/>
      <c r="P731" s="321"/>
      <c r="Y731" s="326"/>
      <c r="Z731" s="326"/>
      <c r="AA731" s="326"/>
      <c r="AB731" s="326"/>
      <c r="AC731" s="326"/>
      <c r="AD731" s="326"/>
      <c r="AG731" s="326"/>
      <c r="AH731" s="326"/>
      <c r="AI731" s="326"/>
      <c r="AL731" s="326"/>
      <c r="AM731" s="326"/>
      <c r="AN731" s="326"/>
    </row>
    <row r="732" spans="1:40" x14ac:dyDescent="0.15">
      <c r="A732" s="318"/>
      <c r="B732" s="320"/>
      <c r="C732" s="320"/>
      <c r="D732" s="320"/>
      <c r="E732" s="320"/>
      <c r="F732" s="320"/>
      <c r="G732" s="320"/>
      <c r="H732" s="320"/>
      <c r="I732" s="320"/>
      <c r="J732" s="320"/>
      <c r="K732" s="320"/>
      <c r="L732" s="320"/>
      <c r="M732" s="320"/>
      <c r="N732" s="320"/>
      <c r="O732" s="321"/>
      <c r="P732" s="321"/>
      <c r="Y732" s="326"/>
      <c r="Z732" s="326"/>
      <c r="AA732" s="326"/>
      <c r="AB732" s="326"/>
      <c r="AC732" s="326"/>
      <c r="AD732" s="326"/>
      <c r="AG732" s="326"/>
      <c r="AH732" s="326"/>
      <c r="AI732" s="326"/>
      <c r="AL732" s="326"/>
      <c r="AM732" s="326"/>
      <c r="AN732" s="326"/>
    </row>
    <row r="733" spans="1:40" x14ac:dyDescent="0.15">
      <c r="A733" s="318"/>
      <c r="B733" s="320"/>
      <c r="C733" s="320"/>
      <c r="D733" s="320"/>
      <c r="E733" s="320"/>
      <c r="F733" s="320"/>
      <c r="G733" s="320"/>
      <c r="H733" s="320"/>
      <c r="I733" s="320"/>
      <c r="J733" s="320"/>
      <c r="K733" s="320"/>
      <c r="L733" s="320"/>
      <c r="M733" s="320"/>
      <c r="N733" s="320"/>
      <c r="O733" s="321"/>
      <c r="P733" s="321"/>
      <c r="Y733" s="326"/>
      <c r="Z733" s="326"/>
      <c r="AA733" s="326"/>
      <c r="AB733" s="326"/>
      <c r="AC733" s="326"/>
      <c r="AD733" s="326"/>
      <c r="AG733" s="326"/>
      <c r="AH733" s="326"/>
      <c r="AI733" s="326"/>
      <c r="AL733" s="326"/>
      <c r="AM733" s="326"/>
      <c r="AN733" s="326"/>
    </row>
    <row r="734" spans="1:40" x14ac:dyDescent="0.15">
      <c r="A734" s="318"/>
      <c r="B734" s="320"/>
      <c r="C734" s="320"/>
      <c r="D734" s="320"/>
      <c r="E734" s="320"/>
      <c r="F734" s="320"/>
      <c r="G734" s="320"/>
      <c r="H734" s="320"/>
      <c r="I734" s="320"/>
      <c r="J734" s="320"/>
      <c r="K734" s="320"/>
      <c r="L734" s="320"/>
      <c r="M734" s="320"/>
      <c r="N734" s="320"/>
      <c r="O734" s="321"/>
      <c r="P734" s="321"/>
      <c r="Y734" s="326"/>
      <c r="Z734" s="326"/>
      <c r="AA734" s="326"/>
      <c r="AB734" s="326"/>
      <c r="AC734" s="326"/>
      <c r="AD734" s="326"/>
      <c r="AG734" s="326"/>
      <c r="AH734" s="326"/>
      <c r="AI734" s="326"/>
      <c r="AL734" s="326"/>
      <c r="AM734" s="326"/>
      <c r="AN734" s="326"/>
    </row>
    <row r="735" spans="1:40" x14ac:dyDescent="0.15">
      <c r="A735" s="318"/>
      <c r="B735" s="320"/>
      <c r="C735" s="320"/>
      <c r="D735" s="320"/>
      <c r="E735" s="320"/>
      <c r="F735" s="320"/>
      <c r="G735" s="320"/>
      <c r="H735" s="320"/>
      <c r="I735" s="320"/>
      <c r="J735" s="320"/>
      <c r="K735" s="320"/>
      <c r="L735" s="320"/>
      <c r="M735" s="320"/>
      <c r="N735" s="320"/>
      <c r="O735" s="321"/>
      <c r="P735" s="321"/>
      <c r="Y735" s="326"/>
      <c r="Z735" s="326"/>
      <c r="AA735" s="326"/>
      <c r="AB735" s="326"/>
      <c r="AC735" s="326"/>
      <c r="AD735" s="326"/>
      <c r="AG735" s="326"/>
      <c r="AH735" s="326"/>
      <c r="AI735" s="326"/>
      <c r="AL735" s="326"/>
      <c r="AM735" s="326"/>
      <c r="AN735" s="326"/>
    </row>
    <row r="736" spans="1:40" x14ac:dyDescent="0.15">
      <c r="A736" s="318"/>
      <c r="B736" s="320"/>
      <c r="C736" s="320"/>
      <c r="D736" s="320"/>
      <c r="E736" s="320"/>
      <c r="F736" s="320"/>
      <c r="G736" s="320"/>
      <c r="H736" s="320"/>
      <c r="I736" s="320"/>
      <c r="J736" s="320"/>
      <c r="K736" s="320"/>
      <c r="L736" s="320"/>
      <c r="M736" s="320"/>
      <c r="N736" s="320"/>
      <c r="O736" s="321"/>
      <c r="P736" s="321"/>
      <c r="Y736" s="326"/>
      <c r="Z736" s="326"/>
      <c r="AA736" s="326"/>
      <c r="AB736" s="326"/>
      <c r="AC736" s="326"/>
      <c r="AD736" s="326"/>
      <c r="AG736" s="326"/>
      <c r="AH736" s="326"/>
      <c r="AI736" s="326"/>
      <c r="AL736" s="326"/>
      <c r="AM736" s="326"/>
      <c r="AN736" s="326"/>
    </row>
    <row r="737" spans="1:40" x14ac:dyDescent="0.15">
      <c r="A737" s="318"/>
      <c r="B737" s="320"/>
      <c r="C737" s="320"/>
      <c r="D737" s="320"/>
      <c r="E737" s="320"/>
      <c r="F737" s="320"/>
      <c r="G737" s="320"/>
      <c r="H737" s="320"/>
      <c r="I737" s="320"/>
      <c r="J737" s="320"/>
      <c r="K737" s="320"/>
      <c r="L737" s="320"/>
      <c r="M737" s="320"/>
      <c r="N737" s="320"/>
      <c r="O737" s="321"/>
      <c r="P737" s="321"/>
      <c r="Y737" s="326"/>
      <c r="Z737" s="326"/>
      <c r="AA737" s="326"/>
      <c r="AB737" s="326"/>
      <c r="AC737" s="326"/>
      <c r="AD737" s="326"/>
      <c r="AG737" s="326"/>
      <c r="AH737" s="326"/>
      <c r="AI737" s="326"/>
      <c r="AL737" s="326"/>
      <c r="AM737" s="326"/>
      <c r="AN737" s="326"/>
    </row>
    <row r="738" spans="1:40" x14ac:dyDescent="0.15">
      <c r="A738" s="318"/>
      <c r="B738" s="320"/>
      <c r="C738" s="320"/>
      <c r="D738" s="320"/>
      <c r="E738" s="320"/>
      <c r="F738" s="320"/>
      <c r="G738" s="320"/>
      <c r="H738" s="320"/>
      <c r="I738" s="320"/>
      <c r="J738" s="320"/>
      <c r="K738" s="320"/>
      <c r="L738" s="320"/>
      <c r="M738" s="320"/>
      <c r="N738" s="320"/>
      <c r="O738" s="321"/>
      <c r="P738" s="321"/>
      <c r="Y738" s="326"/>
      <c r="Z738" s="326"/>
      <c r="AA738" s="326"/>
      <c r="AB738" s="326"/>
      <c r="AC738" s="326"/>
      <c r="AD738" s="326"/>
      <c r="AG738" s="326"/>
      <c r="AH738" s="326"/>
      <c r="AI738" s="326"/>
      <c r="AL738" s="326"/>
      <c r="AM738" s="326"/>
      <c r="AN738" s="326"/>
    </row>
    <row r="739" spans="1:40" x14ac:dyDescent="0.15">
      <c r="A739" s="318"/>
      <c r="B739" s="320"/>
      <c r="C739" s="320"/>
      <c r="D739" s="320"/>
      <c r="E739" s="320"/>
      <c r="F739" s="320"/>
      <c r="G739" s="320"/>
      <c r="H739" s="320"/>
      <c r="I739" s="320"/>
      <c r="J739" s="320"/>
      <c r="K739" s="320"/>
      <c r="L739" s="320"/>
      <c r="M739" s="320"/>
      <c r="N739" s="320"/>
      <c r="O739" s="321"/>
      <c r="P739" s="321"/>
      <c r="Y739" s="326"/>
      <c r="Z739" s="326"/>
      <c r="AA739" s="326"/>
      <c r="AB739" s="326"/>
      <c r="AC739" s="326"/>
      <c r="AD739" s="326"/>
      <c r="AG739" s="326"/>
      <c r="AH739" s="326"/>
      <c r="AI739" s="326"/>
      <c r="AL739" s="326"/>
      <c r="AM739" s="326"/>
      <c r="AN739" s="326"/>
    </row>
    <row r="740" spans="1:40" x14ac:dyDescent="0.15">
      <c r="A740" s="318"/>
      <c r="B740" s="320"/>
      <c r="C740" s="320"/>
      <c r="D740" s="320"/>
      <c r="E740" s="320"/>
      <c r="F740" s="320"/>
      <c r="G740" s="320"/>
      <c r="H740" s="320"/>
      <c r="I740" s="320"/>
      <c r="J740" s="320"/>
      <c r="K740" s="320"/>
      <c r="L740" s="320"/>
      <c r="M740" s="320"/>
      <c r="N740" s="320"/>
      <c r="O740" s="321"/>
      <c r="P740" s="321"/>
      <c r="Y740" s="326"/>
      <c r="Z740" s="326"/>
      <c r="AA740" s="326"/>
      <c r="AB740" s="326"/>
      <c r="AC740" s="326"/>
      <c r="AD740" s="326"/>
      <c r="AG740" s="326"/>
      <c r="AH740" s="326"/>
      <c r="AI740" s="326"/>
      <c r="AL740" s="326"/>
      <c r="AM740" s="326"/>
      <c r="AN740" s="326"/>
    </row>
    <row r="741" spans="1:40" x14ac:dyDescent="0.15">
      <c r="A741" s="318"/>
      <c r="B741" s="320"/>
      <c r="C741" s="320"/>
      <c r="D741" s="320"/>
      <c r="E741" s="320"/>
      <c r="F741" s="320"/>
      <c r="G741" s="320"/>
      <c r="H741" s="320"/>
      <c r="I741" s="320"/>
      <c r="J741" s="320"/>
      <c r="K741" s="320"/>
      <c r="L741" s="320"/>
      <c r="M741" s="320"/>
      <c r="N741" s="320"/>
      <c r="O741" s="321"/>
      <c r="P741" s="321"/>
      <c r="Y741" s="326"/>
      <c r="Z741" s="326"/>
      <c r="AA741" s="326"/>
      <c r="AB741" s="326"/>
      <c r="AC741" s="326"/>
      <c r="AD741" s="326"/>
      <c r="AG741" s="326"/>
      <c r="AH741" s="326"/>
      <c r="AI741" s="326"/>
      <c r="AL741" s="326"/>
      <c r="AM741" s="326"/>
      <c r="AN741" s="326"/>
    </row>
    <row r="742" spans="1:40" x14ac:dyDescent="0.15">
      <c r="A742" s="318"/>
      <c r="B742" s="320"/>
      <c r="C742" s="320"/>
      <c r="D742" s="320"/>
      <c r="E742" s="320"/>
      <c r="F742" s="320"/>
      <c r="G742" s="320"/>
      <c r="H742" s="320"/>
      <c r="I742" s="320"/>
      <c r="J742" s="320"/>
      <c r="K742" s="320"/>
      <c r="L742" s="320"/>
      <c r="M742" s="320"/>
      <c r="N742" s="320"/>
      <c r="O742" s="321"/>
      <c r="P742" s="321"/>
      <c r="Y742" s="326"/>
      <c r="Z742" s="326"/>
      <c r="AA742" s="326"/>
      <c r="AB742" s="326"/>
      <c r="AC742" s="326"/>
      <c r="AD742" s="326"/>
      <c r="AG742" s="326"/>
      <c r="AH742" s="326"/>
      <c r="AI742" s="326"/>
      <c r="AL742" s="326"/>
      <c r="AM742" s="326"/>
      <c r="AN742" s="326"/>
    </row>
    <row r="743" spans="1:40" x14ac:dyDescent="0.15">
      <c r="A743" s="318"/>
      <c r="B743" s="320"/>
      <c r="C743" s="320"/>
      <c r="D743" s="320"/>
      <c r="E743" s="320"/>
      <c r="F743" s="320"/>
      <c r="G743" s="320"/>
      <c r="H743" s="320"/>
      <c r="I743" s="320"/>
      <c r="J743" s="320"/>
      <c r="K743" s="320"/>
      <c r="L743" s="320"/>
      <c r="M743" s="320"/>
      <c r="N743" s="320"/>
      <c r="O743" s="321"/>
      <c r="P743" s="321"/>
      <c r="Y743" s="326"/>
      <c r="Z743" s="326"/>
      <c r="AA743" s="326"/>
      <c r="AB743" s="326"/>
      <c r="AC743" s="326"/>
      <c r="AD743" s="326"/>
      <c r="AG743" s="326"/>
      <c r="AH743" s="326"/>
      <c r="AI743" s="326"/>
      <c r="AL743" s="326"/>
      <c r="AM743" s="326"/>
      <c r="AN743" s="326"/>
    </row>
    <row r="744" spans="1:40" x14ac:dyDescent="0.15">
      <c r="A744" s="318"/>
      <c r="B744" s="320"/>
      <c r="C744" s="320"/>
      <c r="D744" s="320"/>
      <c r="E744" s="320"/>
      <c r="F744" s="320"/>
      <c r="G744" s="320"/>
      <c r="H744" s="320"/>
      <c r="I744" s="320"/>
      <c r="J744" s="320"/>
      <c r="K744" s="320"/>
      <c r="L744" s="320"/>
      <c r="M744" s="320"/>
      <c r="N744" s="320"/>
      <c r="O744" s="321"/>
      <c r="P744" s="321"/>
      <c r="Y744" s="326"/>
      <c r="Z744" s="326"/>
      <c r="AA744" s="326"/>
      <c r="AB744" s="326"/>
      <c r="AC744" s="326"/>
      <c r="AD744" s="326"/>
      <c r="AG744" s="326"/>
      <c r="AH744" s="326"/>
      <c r="AI744" s="326"/>
      <c r="AL744" s="326"/>
      <c r="AM744" s="326"/>
      <c r="AN744" s="326"/>
    </row>
    <row r="745" spans="1:40" x14ac:dyDescent="0.15">
      <c r="A745" s="318"/>
      <c r="B745" s="320"/>
      <c r="C745" s="320"/>
      <c r="D745" s="320"/>
      <c r="E745" s="320"/>
      <c r="F745" s="320"/>
      <c r="G745" s="320"/>
      <c r="H745" s="320"/>
      <c r="I745" s="320"/>
      <c r="J745" s="320"/>
      <c r="K745" s="320"/>
      <c r="L745" s="320"/>
      <c r="M745" s="320"/>
      <c r="N745" s="320"/>
      <c r="O745" s="321"/>
      <c r="P745" s="321"/>
      <c r="Y745" s="326"/>
      <c r="Z745" s="326"/>
      <c r="AA745" s="326"/>
      <c r="AB745" s="326"/>
      <c r="AC745" s="326"/>
      <c r="AD745" s="326"/>
      <c r="AG745" s="326"/>
      <c r="AH745" s="326"/>
      <c r="AI745" s="326"/>
      <c r="AL745" s="326"/>
      <c r="AM745" s="326"/>
      <c r="AN745" s="326"/>
    </row>
    <row r="746" spans="1:40" x14ac:dyDescent="0.15">
      <c r="A746" s="318"/>
      <c r="B746" s="320"/>
      <c r="C746" s="320"/>
      <c r="D746" s="320"/>
      <c r="E746" s="320"/>
      <c r="F746" s="320"/>
      <c r="G746" s="320"/>
      <c r="H746" s="320"/>
      <c r="I746" s="320"/>
      <c r="J746" s="320"/>
      <c r="K746" s="320"/>
      <c r="L746" s="320"/>
      <c r="M746" s="320"/>
      <c r="N746" s="320"/>
      <c r="O746" s="321"/>
      <c r="P746" s="321"/>
      <c r="Y746" s="326"/>
      <c r="Z746" s="326"/>
      <c r="AA746" s="326"/>
      <c r="AB746" s="326"/>
      <c r="AC746" s="326"/>
      <c r="AD746" s="326"/>
      <c r="AG746" s="326"/>
      <c r="AH746" s="326"/>
      <c r="AI746" s="326"/>
      <c r="AL746" s="326"/>
      <c r="AM746" s="326"/>
      <c r="AN746" s="326"/>
    </row>
    <row r="747" spans="1:40" x14ac:dyDescent="0.15">
      <c r="A747" s="318"/>
      <c r="B747" s="320"/>
      <c r="C747" s="320"/>
      <c r="D747" s="320"/>
      <c r="E747" s="320"/>
      <c r="F747" s="320"/>
      <c r="G747" s="320"/>
      <c r="H747" s="320"/>
      <c r="I747" s="320"/>
      <c r="J747" s="320"/>
      <c r="K747" s="320"/>
      <c r="L747" s="320"/>
      <c r="M747" s="320"/>
      <c r="N747" s="320"/>
      <c r="O747" s="321"/>
      <c r="P747" s="321"/>
      <c r="Y747" s="326"/>
      <c r="Z747" s="326"/>
      <c r="AA747" s="326"/>
      <c r="AB747" s="326"/>
      <c r="AC747" s="326"/>
      <c r="AD747" s="326"/>
      <c r="AG747" s="326"/>
      <c r="AH747" s="326"/>
      <c r="AI747" s="326"/>
      <c r="AL747" s="326"/>
      <c r="AM747" s="326"/>
      <c r="AN747" s="326"/>
    </row>
    <row r="748" spans="1:40" x14ac:dyDescent="0.15">
      <c r="A748" s="318"/>
      <c r="B748" s="320"/>
      <c r="C748" s="320"/>
      <c r="D748" s="320"/>
      <c r="E748" s="320"/>
      <c r="F748" s="320"/>
      <c r="G748" s="320"/>
      <c r="H748" s="320"/>
      <c r="I748" s="320"/>
      <c r="J748" s="320"/>
      <c r="K748" s="320"/>
      <c r="L748" s="320"/>
      <c r="M748" s="320"/>
      <c r="N748" s="320"/>
      <c r="O748" s="321"/>
      <c r="P748" s="321"/>
      <c r="Y748" s="326"/>
      <c r="Z748" s="326"/>
      <c r="AA748" s="326"/>
      <c r="AB748" s="326"/>
      <c r="AC748" s="326"/>
      <c r="AD748" s="326"/>
      <c r="AG748" s="326"/>
      <c r="AH748" s="326"/>
      <c r="AI748" s="326"/>
      <c r="AL748" s="326"/>
      <c r="AM748" s="326"/>
      <c r="AN748" s="326"/>
    </row>
    <row r="749" spans="1:40" x14ac:dyDescent="0.15">
      <c r="A749" s="318"/>
      <c r="B749" s="320"/>
      <c r="C749" s="320"/>
      <c r="D749" s="320"/>
      <c r="E749" s="320"/>
      <c r="F749" s="320"/>
      <c r="G749" s="320"/>
      <c r="H749" s="320"/>
      <c r="I749" s="320"/>
      <c r="J749" s="320"/>
      <c r="K749" s="320"/>
      <c r="L749" s="320"/>
      <c r="M749" s="320"/>
      <c r="N749" s="320"/>
      <c r="O749" s="321"/>
      <c r="P749" s="321"/>
      <c r="Y749" s="326"/>
      <c r="Z749" s="326"/>
      <c r="AA749" s="326"/>
      <c r="AB749" s="326"/>
      <c r="AC749" s="326"/>
      <c r="AD749" s="326"/>
      <c r="AG749" s="326"/>
      <c r="AH749" s="326"/>
      <c r="AI749" s="326"/>
      <c r="AL749" s="326"/>
      <c r="AM749" s="326"/>
      <c r="AN749" s="326"/>
    </row>
    <row r="750" spans="1:40" x14ac:dyDescent="0.15">
      <c r="A750" s="318"/>
      <c r="B750" s="320"/>
      <c r="C750" s="320"/>
      <c r="D750" s="320"/>
      <c r="E750" s="320"/>
      <c r="F750" s="320"/>
      <c r="G750" s="320"/>
      <c r="H750" s="320"/>
      <c r="I750" s="320"/>
      <c r="J750" s="320"/>
      <c r="K750" s="320"/>
      <c r="L750" s="320"/>
      <c r="M750" s="320"/>
      <c r="N750" s="320"/>
      <c r="O750" s="321"/>
      <c r="P750" s="321"/>
      <c r="Y750" s="326"/>
      <c r="Z750" s="326"/>
      <c r="AA750" s="326"/>
      <c r="AB750" s="326"/>
      <c r="AC750" s="326"/>
      <c r="AD750" s="326"/>
      <c r="AG750" s="326"/>
      <c r="AH750" s="326"/>
      <c r="AI750" s="326"/>
      <c r="AL750" s="326"/>
      <c r="AM750" s="326"/>
      <c r="AN750" s="326"/>
    </row>
    <row r="751" spans="1:40" x14ac:dyDescent="0.15">
      <c r="A751" s="318"/>
      <c r="B751" s="320"/>
      <c r="C751" s="320"/>
      <c r="D751" s="320"/>
      <c r="E751" s="320"/>
      <c r="F751" s="320"/>
      <c r="G751" s="320"/>
      <c r="H751" s="320"/>
      <c r="I751" s="320"/>
      <c r="J751" s="320"/>
      <c r="K751" s="320"/>
      <c r="L751" s="320"/>
      <c r="M751" s="320"/>
      <c r="N751" s="320"/>
      <c r="O751" s="321"/>
      <c r="P751" s="321"/>
      <c r="Y751" s="326"/>
      <c r="Z751" s="326"/>
      <c r="AA751" s="326"/>
      <c r="AB751" s="326"/>
      <c r="AC751" s="326"/>
      <c r="AD751" s="326"/>
      <c r="AG751" s="326"/>
      <c r="AH751" s="326"/>
      <c r="AI751" s="326"/>
      <c r="AL751" s="326"/>
      <c r="AM751" s="326"/>
      <c r="AN751" s="326"/>
    </row>
    <row r="752" spans="1:40" x14ac:dyDescent="0.15">
      <c r="A752" s="318"/>
      <c r="B752" s="320"/>
      <c r="C752" s="320"/>
      <c r="D752" s="320"/>
      <c r="E752" s="320"/>
      <c r="F752" s="320"/>
      <c r="G752" s="320"/>
      <c r="H752" s="320"/>
      <c r="I752" s="320"/>
      <c r="J752" s="320"/>
      <c r="K752" s="320"/>
      <c r="L752" s="320"/>
      <c r="M752" s="320"/>
      <c r="N752" s="320"/>
      <c r="O752" s="321"/>
      <c r="P752" s="321"/>
      <c r="Y752" s="326"/>
      <c r="Z752" s="326"/>
      <c r="AA752" s="326"/>
      <c r="AB752" s="326"/>
      <c r="AC752" s="326"/>
      <c r="AD752" s="326"/>
      <c r="AG752" s="326"/>
      <c r="AH752" s="326"/>
      <c r="AI752" s="326"/>
      <c r="AL752" s="326"/>
      <c r="AM752" s="326"/>
      <c r="AN752" s="326"/>
    </row>
    <row r="753" spans="1:40" x14ac:dyDescent="0.15">
      <c r="A753" s="318"/>
      <c r="B753" s="320"/>
      <c r="C753" s="320"/>
      <c r="D753" s="320"/>
      <c r="E753" s="320"/>
      <c r="F753" s="320"/>
      <c r="G753" s="320"/>
      <c r="H753" s="320"/>
      <c r="I753" s="320"/>
      <c r="J753" s="320"/>
      <c r="K753" s="320"/>
      <c r="L753" s="320"/>
      <c r="M753" s="320"/>
      <c r="N753" s="320"/>
      <c r="O753" s="321"/>
      <c r="P753" s="321"/>
      <c r="Y753" s="326"/>
      <c r="Z753" s="326"/>
      <c r="AA753" s="326"/>
      <c r="AB753" s="326"/>
      <c r="AC753" s="326"/>
      <c r="AD753" s="326"/>
      <c r="AG753" s="326"/>
      <c r="AH753" s="326"/>
      <c r="AI753" s="326"/>
      <c r="AL753" s="326"/>
      <c r="AM753" s="326"/>
      <c r="AN753" s="326"/>
    </row>
    <row r="754" spans="1:40" x14ac:dyDescent="0.15">
      <c r="A754" s="318"/>
      <c r="B754" s="320"/>
      <c r="C754" s="320"/>
      <c r="D754" s="320"/>
      <c r="E754" s="320"/>
      <c r="F754" s="320"/>
      <c r="G754" s="320"/>
      <c r="H754" s="320"/>
      <c r="I754" s="320"/>
      <c r="J754" s="320"/>
      <c r="K754" s="320"/>
      <c r="L754" s="320"/>
      <c r="M754" s="320"/>
      <c r="N754" s="320"/>
      <c r="O754" s="321"/>
      <c r="P754" s="321"/>
      <c r="Y754" s="326"/>
      <c r="Z754" s="326"/>
      <c r="AA754" s="326"/>
      <c r="AB754" s="326"/>
      <c r="AC754" s="326"/>
      <c r="AD754" s="326"/>
      <c r="AG754" s="326"/>
      <c r="AH754" s="326"/>
      <c r="AI754" s="326"/>
      <c r="AL754" s="326"/>
      <c r="AM754" s="326"/>
      <c r="AN754" s="326"/>
    </row>
    <row r="755" spans="1:40" x14ac:dyDescent="0.15">
      <c r="A755" s="318"/>
      <c r="B755" s="320"/>
      <c r="C755" s="320"/>
      <c r="D755" s="320"/>
      <c r="E755" s="320"/>
      <c r="F755" s="320"/>
      <c r="G755" s="320"/>
      <c r="H755" s="320"/>
      <c r="I755" s="320"/>
      <c r="J755" s="320"/>
      <c r="K755" s="320"/>
      <c r="L755" s="320"/>
      <c r="M755" s="320"/>
      <c r="N755" s="320"/>
      <c r="O755" s="321"/>
      <c r="P755" s="321"/>
      <c r="Y755" s="326"/>
      <c r="Z755" s="326"/>
      <c r="AA755" s="326"/>
      <c r="AB755" s="326"/>
      <c r="AC755" s="326"/>
      <c r="AD755" s="326"/>
      <c r="AG755" s="326"/>
      <c r="AH755" s="326"/>
      <c r="AI755" s="326"/>
      <c r="AL755" s="326"/>
      <c r="AM755" s="326"/>
      <c r="AN755" s="326"/>
    </row>
    <row r="756" spans="1:40" x14ac:dyDescent="0.15">
      <c r="A756" s="318"/>
      <c r="B756" s="320"/>
      <c r="C756" s="320"/>
      <c r="D756" s="320"/>
      <c r="E756" s="320"/>
      <c r="F756" s="320"/>
      <c r="G756" s="320"/>
      <c r="H756" s="320"/>
      <c r="I756" s="320"/>
      <c r="J756" s="320"/>
      <c r="K756" s="320"/>
      <c r="L756" s="320"/>
      <c r="M756" s="320"/>
      <c r="N756" s="320"/>
      <c r="O756" s="321"/>
      <c r="P756" s="321"/>
      <c r="Y756" s="326"/>
      <c r="Z756" s="326"/>
      <c r="AA756" s="326"/>
      <c r="AB756" s="326"/>
      <c r="AC756" s="326"/>
      <c r="AD756" s="326"/>
      <c r="AG756" s="326"/>
      <c r="AH756" s="326"/>
      <c r="AI756" s="326"/>
      <c r="AL756" s="326"/>
      <c r="AM756" s="326"/>
      <c r="AN756" s="326"/>
    </row>
    <row r="757" spans="1:40" x14ac:dyDescent="0.15">
      <c r="A757" s="318"/>
      <c r="B757" s="320"/>
      <c r="C757" s="320"/>
      <c r="D757" s="320"/>
      <c r="E757" s="320"/>
      <c r="F757" s="320"/>
      <c r="G757" s="320"/>
      <c r="H757" s="320"/>
      <c r="I757" s="320"/>
      <c r="J757" s="320"/>
      <c r="K757" s="320"/>
      <c r="L757" s="320"/>
      <c r="M757" s="320"/>
      <c r="N757" s="320"/>
      <c r="O757" s="321"/>
      <c r="P757" s="321"/>
      <c r="Y757" s="326"/>
      <c r="Z757" s="326"/>
      <c r="AA757" s="326"/>
      <c r="AB757" s="326"/>
      <c r="AC757" s="326"/>
      <c r="AD757" s="326"/>
      <c r="AG757" s="326"/>
      <c r="AH757" s="326"/>
      <c r="AI757" s="326"/>
      <c r="AL757" s="326"/>
      <c r="AM757" s="326"/>
      <c r="AN757" s="326"/>
    </row>
    <row r="758" spans="1:40" x14ac:dyDescent="0.15">
      <c r="A758" s="318"/>
      <c r="B758" s="320"/>
      <c r="C758" s="320"/>
      <c r="D758" s="320"/>
      <c r="E758" s="320"/>
      <c r="F758" s="320"/>
      <c r="G758" s="320"/>
      <c r="H758" s="320"/>
      <c r="I758" s="320"/>
      <c r="J758" s="320"/>
      <c r="K758" s="320"/>
      <c r="L758" s="320"/>
      <c r="M758" s="320"/>
      <c r="N758" s="320"/>
      <c r="O758" s="321"/>
      <c r="P758" s="321"/>
      <c r="Y758" s="326"/>
      <c r="Z758" s="326"/>
      <c r="AA758" s="326"/>
      <c r="AB758" s="326"/>
      <c r="AC758" s="326"/>
      <c r="AD758" s="326"/>
      <c r="AG758" s="326"/>
      <c r="AH758" s="326"/>
      <c r="AI758" s="326"/>
      <c r="AL758" s="326"/>
      <c r="AM758" s="326"/>
      <c r="AN758" s="326"/>
    </row>
    <row r="759" spans="1:40" x14ac:dyDescent="0.15">
      <c r="A759" s="318"/>
      <c r="B759" s="320"/>
      <c r="C759" s="320"/>
      <c r="D759" s="320"/>
      <c r="E759" s="320"/>
      <c r="F759" s="320"/>
      <c r="G759" s="320"/>
      <c r="H759" s="320"/>
      <c r="I759" s="320"/>
      <c r="J759" s="320"/>
      <c r="K759" s="320"/>
      <c r="L759" s="320"/>
      <c r="M759" s="320"/>
      <c r="N759" s="320"/>
      <c r="O759" s="321"/>
      <c r="P759" s="321"/>
      <c r="Y759" s="326"/>
      <c r="Z759" s="326"/>
      <c r="AA759" s="326"/>
      <c r="AB759" s="326"/>
      <c r="AC759" s="326"/>
      <c r="AD759" s="326"/>
      <c r="AG759" s="326"/>
      <c r="AH759" s="326"/>
      <c r="AI759" s="326"/>
      <c r="AL759" s="326"/>
      <c r="AM759" s="326"/>
      <c r="AN759" s="326"/>
    </row>
    <row r="760" spans="1:40" x14ac:dyDescent="0.15">
      <c r="A760" s="318"/>
      <c r="B760" s="320"/>
      <c r="C760" s="320"/>
      <c r="D760" s="320"/>
      <c r="E760" s="320"/>
      <c r="F760" s="320"/>
      <c r="G760" s="320"/>
      <c r="H760" s="320"/>
      <c r="I760" s="320"/>
      <c r="J760" s="320"/>
      <c r="K760" s="320"/>
      <c r="L760" s="320"/>
      <c r="M760" s="320"/>
      <c r="N760" s="320"/>
      <c r="O760" s="321"/>
      <c r="P760" s="321"/>
      <c r="Y760" s="326"/>
      <c r="Z760" s="326"/>
      <c r="AA760" s="326"/>
      <c r="AB760" s="326"/>
      <c r="AC760" s="326"/>
      <c r="AD760" s="326"/>
      <c r="AG760" s="326"/>
      <c r="AH760" s="326"/>
      <c r="AI760" s="326"/>
      <c r="AL760" s="326"/>
      <c r="AM760" s="326"/>
      <c r="AN760" s="326"/>
    </row>
    <row r="761" spans="1:40" x14ac:dyDescent="0.15">
      <c r="A761" s="318"/>
      <c r="B761" s="320"/>
      <c r="C761" s="320"/>
      <c r="D761" s="320"/>
      <c r="E761" s="320"/>
      <c r="F761" s="320"/>
      <c r="G761" s="320"/>
      <c r="H761" s="320"/>
      <c r="I761" s="320"/>
      <c r="J761" s="320"/>
      <c r="K761" s="320"/>
      <c r="L761" s="320"/>
      <c r="M761" s="320"/>
      <c r="N761" s="320"/>
      <c r="O761" s="321"/>
      <c r="P761" s="321"/>
      <c r="Y761" s="326"/>
      <c r="Z761" s="326"/>
      <c r="AA761" s="326"/>
      <c r="AB761" s="326"/>
      <c r="AC761" s="326"/>
      <c r="AD761" s="326"/>
      <c r="AG761" s="326"/>
      <c r="AH761" s="326"/>
      <c r="AI761" s="326"/>
      <c r="AL761" s="326"/>
      <c r="AM761" s="326"/>
      <c r="AN761" s="326"/>
    </row>
    <row r="762" spans="1:40" x14ac:dyDescent="0.15">
      <c r="A762" s="318"/>
      <c r="B762" s="320"/>
      <c r="C762" s="320"/>
      <c r="D762" s="320"/>
      <c r="E762" s="320"/>
      <c r="F762" s="320"/>
      <c r="G762" s="320"/>
      <c r="H762" s="320"/>
      <c r="I762" s="320"/>
      <c r="J762" s="320"/>
      <c r="K762" s="320"/>
      <c r="L762" s="320"/>
      <c r="M762" s="320"/>
      <c r="N762" s="320"/>
      <c r="O762" s="321"/>
      <c r="P762" s="321"/>
      <c r="Y762" s="326"/>
      <c r="Z762" s="326"/>
      <c r="AA762" s="326"/>
      <c r="AB762" s="326"/>
      <c r="AC762" s="326"/>
      <c r="AD762" s="326"/>
      <c r="AG762" s="326"/>
      <c r="AH762" s="326"/>
      <c r="AI762" s="326"/>
      <c r="AL762" s="326"/>
      <c r="AM762" s="326"/>
      <c r="AN762" s="326"/>
    </row>
    <row r="763" spans="1:40" x14ac:dyDescent="0.15">
      <c r="A763" s="318"/>
      <c r="B763" s="320"/>
      <c r="C763" s="320"/>
      <c r="D763" s="320"/>
      <c r="E763" s="320"/>
      <c r="F763" s="320"/>
      <c r="G763" s="320"/>
      <c r="H763" s="320"/>
      <c r="I763" s="320"/>
      <c r="J763" s="320"/>
      <c r="K763" s="320"/>
      <c r="L763" s="320"/>
      <c r="M763" s="320"/>
      <c r="N763" s="320"/>
      <c r="O763" s="321"/>
      <c r="P763" s="321"/>
      <c r="Y763" s="326"/>
      <c r="Z763" s="326"/>
      <c r="AA763" s="326"/>
      <c r="AB763" s="326"/>
      <c r="AC763" s="326"/>
      <c r="AD763" s="326"/>
      <c r="AG763" s="326"/>
      <c r="AH763" s="326"/>
      <c r="AI763" s="326"/>
      <c r="AL763" s="326"/>
      <c r="AM763" s="326"/>
      <c r="AN763" s="326"/>
    </row>
    <row r="764" spans="1:40" x14ac:dyDescent="0.15">
      <c r="A764" s="318"/>
      <c r="B764" s="320"/>
      <c r="C764" s="320"/>
      <c r="D764" s="320"/>
      <c r="E764" s="320"/>
      <c r="F764" s="320"/>
      <c r="G764" s="320"/>
      <c r="H764" s="320"/>
      <c r="I764" s="320"/>
      <c r="J764" s="320"/>
      <c r="K764" s="320"/>
      <c r="L764" s="320"/>
      <c r="M764" s="320"/>
      <c r="N764" s="320"/>
      <c r="O764" s="321"/>
      <c r="P764" s="321"/>
      <c r="Y764" s="326"/>
      <c r="Z764" s="326"/>
      <c r="AA764" s="326"/>
      <c r="AB764" s="326"/>
      <c r="AC764" s="326"/>
      <c r="AD764" s="326"/>
      <c r="AG764" s="326"/>
      <c r="AH764" s="326"/>
      <c r="AI764" s="326"/>
      <c r="AL764" s="326"/>
      <c r="AM764" s="326"/>
      <c r="AN764" s="326"/>
    </row>
    <row r="765" spans="1:40" x14ac:dyDescent="0.15">
      <c r="A765" s="318"/>
      <c r="B765" s="320"/>
      <c r="C765" s="320"/>
      <c r="D765" s="320"/>
      <c r="E765" s="320"/>
      <c r="F765" s="320"/>
      <c r="G765" s="320"/>
      <c r="H765" s="320"/>
      <c r="I765" s="320"/>
      <c r="J765" s="320"/>
      <c r="K765" s="320"/>
      <c r="L765" s="320"/>
      <c r="M765" s="320"/>
      <c r="N765" s="320"/>
      <c r="O765" s="321"/>
      <c r="P765" s="321"/>
      <c r="Y765" s="326"/>
      <c r="Z765" s="326"/>
      <c r="AA765" s="326"/>
      <c r="AB765" s="326"/>
      <c r="AC765" s="326"/>
      <c r="AD765" s="326"/>
      <c r="AG765" s="326"/>
      <c r="AH765" s="326"/>
      <c r="AI765" s="326"/>
      <c r="AL765" s="326"/>
      <c r="AM765" s="326"/>
      <c r="AN765" s="326"/>
    </row>
    <row r="766" spans="1:40" x14ac:dyDescent="0.15">
      <c r="A766" s="318"/>
      <c r="B766" s="320"/>
      <c r="C766" s="320"/>
      <c r="D766" s="320"/>
      <c r="E766" s="320"/>
      <c r="F766" s="320"/>
      <c r="G766" s="320"/>
      <c r="H766" s="320"/>
      <c r="I766" s="320"/>
      <c r="J766" s="320"/>
      <c r="K766" s="320"/>
      <c r="L766" s="320"/>
      <c r="M766" s="320"/>
      <c r="N766" s="320"/>
      <c r="O766" s="321"/>
      <c r="P766" s="321"/>
      <c r="Y766" s="326"/>
      <c r="Z766" s="326"/>
      <c r="AA766" s="326"/>
      <c r="AB766" s="326"/>
      <c r="AC766" s="326"/>
      <c r="AD766" s="326"/>
      <c r="AG766" s="326"/>
      <c r="AH766" s="326"/>
      <c r="AI766" s="326"/>
      <c r="AL766" s="326"/>
      <c r="AM766" s="326"/>
      <c r="AN766" s="326"/>
    </row>
    <row r="767" spans="1:40" x14ac:dyDescent="0.15">
      <c r="A767" s="318"/>
      <c r="B767" s="320"/>
      <c r="C767" s="320"/>
      <c r="D767" s="320"/>
      <c r="E767" s="320"/>
      <c r="F767" s="320"/>
      <c r="G767" s="320"/>
      <c r="H767" s="320"/>
      <c r="I767" s="320"/>
      <c r="J767" s="320"/>
      <c r="K767" s="320"/>
      <c r="L767" s="320"/>
      <c r="M767" s="320"/>
      <c r="N767" s="320"/>
      <c r="O767" s="321"/>
      <c r="P767" s="321"/>
      <c r="Y767" s="326"/>
      <c r="Z767" s="326"/>
      <c r="AA767" s="326"/>
      <c r="AB767" s="326"/>
      <c r="AC767" s="326"/>
      <c r="AD767" s="326"/>
      <c r="AG767" s="326"/>
      <c r="AH767" s="326"/>
      <c r="AI767" s="326"/>
      <c r="AL767" s="326"/>
      <c r="AM767" s="326"/>
      <c r="AN767" s="326"/>
    </row>
    <row r="768" spans="1:40" x14ac:dyDescent="0.15">
      <c r="A768" s="318"/>
      <c r="B768" s="320"/>
      <c r="C768" s="320"/>
      <c r="D768" s="320"/>
      <c r="E768" s="320"/>
      <c r="F768" s="320"/>
      <c r="G768" s="320"/>
      <c r="H768" s="320"/>
      <c r="I768" s="320"/>
      <c r="J768" s="320"/>
      <c r="K768" s="320"/>
      <c r="L768" s="320"/>
      <c r="M768" s="320"/>
      <c r="N768" s="320"/>
      <c r="O768" s="321"/>
      <c r="P768" s="321"/>
      <c r="Y768" s="326"/>
      <c r="Z768" s="326"/>
      <c r="AA768" s="326"/>
      <c r="AB768" s="326"/>
      <c r="AC768" s="326"/>
      <c r="AD768" s="326"/>
      <c r="AG768" s="326"/>
      <c r="AH768" s="326"/>
      <c r="AI768" s="326"/>
      <c r="AL768" s="326"/>
      <c r="AM768" s="326"/>
      <c r="AN768" s="326"/>
    </row>
    <row r="769" spans="1:40" x14ac:dyDescent="0.15">
      <c r="A769" s="318"/>
      <c r="B769" s="320"/>
      <c r="C769" s="320"/>
      <c r="D769" s="320"/>
      <c r="E769" s="320"/>
      <c r="F769" s="320"/>
      <c r="G769" s="320"/>
      <c r="H769" s="320"/>
      <c r="I769" s="320"/>
      <c r="J769" s="320"/>
      <c r="K769" s="320"/>
      <c r="L769" s="320"/>
      <c r="M769" s="320"/>
      <c r="N769" s="320"/>
      <c r="O769" s="321"/>
      <c r="P769" s="321"/>
      <c r="Y769" s="326"/>
      <c r="Z769" s="326"/>
      <c r="AA769" s="326"/>
      <c r="AB769" s="326"/>
      <c r="AC769" s="326"/>
      <c r="AD769" s="326"/>
      <c r="AG769" s="326"/>
      <c r="AH769" s="326"/>
      <c r="AI769" s="326"/>
      <c r="AL769" s="326"/>
      <c r="AM769" s="326"/>
      <c r="AN769" s="326"/>
    </row>
    <row r="770" spans="1:40" x14ac:dyDescent="0.15">
      <c r="A770" s="318"/>
      <c r="B770" s="320"/>
      <c r="C770" s="320"/>
      <c r="D770" s="320"/>
      <c r="E770" s="320"/>
      <c r="F770" s="320"/>
      <c r="G770" s="320"/>
      <c r="H770" s="320"/>
      <c r="I770" s="320"/>
      <c r="J770" s="320"/>
      <c r="K770" s="320"/>
      <c r="L770" s="320"/>
      <c r="M770" s="320"/>
      <c r="N770" s="320"/>
      <c r="O770" s="321"/>
      <c r="P770" s="321"/>
      <c r="Y770" s="326"/>
      <c r="Z770" s="326"/>
      <c r="AA770" s="326"/>
      <c r="AB770" s="326"/>
      <c r="AC770" s="326"/>
      <c r="AD770" s="326"/>
      <c r="AG770" s="326"/>
      <c r="AH770" s="326"/>
      <c r="AI770" s="326"/>
      <c r="AL770" s="326"/>
      <c r="AM770" s="326"/>
      <c r="AN770" s="326"/>
    </row>
    <row r="771" spans="1:40" x14ac:dyDescent="0.15">
      <c r="A771" s="318"/>
      <c r="B771" s="320"/>
      <c r="C771" s="320"/>
      <c r="D771" s="320"/>
      <c r="E771" s="320"/>
      <c r="F771" s="320"/>
      <c r="G771" s="320"/>
      <c r="H771" s="320"/>
      <c r="I771" s="320"/>
      <c r="J771" s="320"/>
      <c r="K771" s="320"/>
      <c r="L771" s="320"/>
      <c r="M771" s="320"/>
      <c r="N771" s="320"/>
      <c r="O771" s="321"/>
      <c r="P771" s="321"/>
      <c r="Y771" s="326"/>
      <c r="Z771" s="326"/>
      <c r="AA771" s="326"/>
      <c r="AB771" s="326"/>
      <c r="AC771" s="326"/>
      <c r="AD771" s="326"/>
      <c r="AG771" s="326"/>
      <c r="AH771" s="326"/>
      <c r="AI771" s="326"/>
      <c r="AL771" s="326"/>
      <c r="AM771" s="326"/>
      <c r="AN771" s="326"/>
    </row>
    <row r="772" spans="1:40" x14ac:dyDescent="0.15">
      <c r="A772" s="318"/>
      <c r="B772" s="320"/>
      <c r="C772" s="320"/>
      <c r="D772" s="320"/>
      <c r="E772" s="320"/>
      <c r="F772" s="320"/>
      <c r="G772" s="320"/>
      <c r="H772" s="320"/>
      <c r="I772" s="320"/>
      <c r="J772" s="320"/>
      <c r="K772" s="320"/>
      <c r="L772" s="320"/>
      <c r="M772" s="320"/>
      <c r="N772" s="320"/>
      <c r="O772" s="321"/>
      <c r="P772" s="321"/>
      <c r="Y772" s="326"/>
      <c r="Z772" s="326"/>
      <c r="AA772" s="326"/>
      <c r="AB772" s="326"/>
      <c r="AC772" s="326"/>
      <c r="AD772" s="326"/>
      <c r="AG772" s="326"/>
      <c r="AH772" s="326"/>
      <c r="AI772" s="326"/>
      <c r="AL772" s="326"/>
      <c r="AM772" s="326"/>
      <c r="AN772" s="326"/>
    </row>
    <row r="773" spans="1:40" x14ac:dyDescent="0.15">
      <c r="A773" s="318"/>
      <c r="B773" s="320"/>
      <c r="C773" s="320"/>
      <c r="D773" s="320"/>
      <c r="E773" s="320"/>
      <c r="F773" s="320"/>
      <c r="G773" s="320"/>
      <c r="H773" s="320"/>
      <c r="I773" s="320"/>
      <c r="J773" s="320"/>
      <c r="K773" s="320"/>
      <c r="L773" s="320"/>
      <c r="M773" s="320"/>
      <c r="N773" s="320"/>
      <c r="O773" s="321"/>
      <c r="P773" s="321"/>
      <c r="Y773" s="326"/>
      <c r="Z773" s="326"/>
      <c r="AA773" s="326"/>
      <c r="AB773" s="326"/>
      <c r="AC773" s="326"/>
      <c r="AD773" s="326"/>
      <c r="AG773" s="326"/>
      <c r="AH773" s="326"/>
      <c r="AI773" s="326"/>
      <c r="AL773" s="326"/>
      <c r="AM773" s="326"/>
      <c r="AN773" s="326"/>
    </row>
    <row r="774" spans="1:40" x14ac:dyDescent="0.15">
      <c r="A774" s="318"/>
      <c r="B774" s="320"/>
      <c r="C774" s="320"/>
      <c r="D774" s="320"/>
      <c r="E774" s="320"/>
      <c r="F774" s="320"/>
      <c r="G774" s="320"/>
      <c r="H774" s="320"/>
      <c r="I774" s="320"/>
      <c r="J774" s="320"/>
      <c r="K774" s="320"/>
      <c r="L774" s="320"/>
      <c r="M774" s="320"/>
      <c r="N774" s="320"/>
      <c r="O774" s="321"/>
      <c r="P774" s="321"/>
      <c r="Y774" s="326"/>
      <c r="Z774" s="326"/>
      <c r="AA774" s="326"/>
      <c r="AB774" s="326"/>
      <c r="AC774" s="326"/>
      <c r="AD774" s="326"/>
      <c r="AG774" s="326"/>
      <c r="AH774" s="326"/>
      <c r="AI774" s="326"/>
      <c r="AL774" s="326"/>
      <c r="AM774" s="326"/>
      <c r="AN774" s="326"/>
    </row>
    <row r="775" spans="1:40" x14ac:dyDescent="0.15">
      <c r="A775" s="318"/>
      <c r="B775" s="320"/>
      <c r="C775" s="320"/>
      <c r="D775" s="320"/>
      <c r="E775" s="320"/>
      <c r="F775" s="320"/>
      <c r="G775" s="320"/>
      <c r="H775" s="320"/>
      <c r="I775" s="320"/>
      <c r="J775" s="320"/>
      <c r="K775" s="320"/>
      <c r="L775" s="320"/>
      <c r="M775" s="320"/>
      <c r="N775" s="320"/>
      <c r="O775" s="321"/>
      <c r="P775" s="321"/>
      <c r="Y775" s="326"/>
      <c r="Z775" s="326"/>
      <c r="AA775" s="326"/>
      <c r="AB775" s="326"/>
      <c r="AC775" s="326"/>
      <c r="AD775" s="326"/>
      <c r="AG775" s="326"/>
      <c r="AH775" s="326"/>
      <c r="AI775" s="326"/>
      <c r="AL775" s="326"/>
      <c r="AM775" s="326"/>
      <c r="AN775" s="326"/>
    </row>
    <row r="776" spans="1:40" x14ac:dyDescent="0.15">
      <c r="A776" s="318"/>
      <c r="B776" s="320"/>
      <c r="C776" s="320"/>
      <c r="D776" s="320"/>
      <c r="E776" s="320"/>
      <c r="F776" s="320"/>
      <c r="G776" s="320"/>
      <c r="H776" s="320"/>
      <c r="I776" s="320"/>
      <c r="J776" s="320"/>
      <c r="K776" s="320"/>
      <c r="L776" s="320"/>
      <c r="M776" s="320"/>
      <c r="N776" s="320"/>
      <c r="O776" s="321"/>
      <c r="P776" s="321"/>
      <c r="Y776" s="326"/>
      <c r="Z776" s="326"/>
      <c r="AA776" s="326"/>
      <c r="AB776" s="326"/>
      <c r="AC776" s="326"/>
      <c r="AD776" s="326"/>
      <c r="AG776" s="326"/>
      <c r="AH776" s="326"/>
      <c r="AI776" s="326"/>
      <c r="AL776" s="326"/>
      <c r="AM776" s="326"/>
      <c r="AN776" s="326"/>
    </row>
    <row r="777" spans="1:40" x14ac:dyDescent="0.15">
      <c r="A777" s="318"/>
      <c r="B777" s="320"/>
      <c r="C777" s="320"/>
      <c r="D777" s="320"/>
      <c r="E777" s="320"/>
      <c r="F777" s="320"/>
      <c r="G777" s="320"/>
      <c r="H777" s="320"/>
      <c r="I777" s="320"/>
      <c r="J777" s="320"/>
      <c r="K777" s="320"/>
      <c r="L777" s="320"/>
      <c r="M777" s="320"/>
      <c r="N777" s="320"/>
      <c r="O777" s="321"/>
      <c r="P777" s="321"/>
      <c r="Y777" s="326"/>
      <c r="Z777" s="326"/>
      <c r="AA777" s="326"/>
      <c r="AB777" s="326"/>
      <c r="AC777" s="326"/>
      <c r="AD777" s="326"/>
      <c r="AG777" s="326"/>
      <c r="AH777" s="326"/>
      <c r="AI777" s="326"/>
      <c r="AL777" s="326"/>
      <c r="AM777" s="326"/>
      <c r="AN777" s="326"/>
    </row>
    <row r="778" spans="1:40" x14ac:dyDescent="0.15">
      <c r="A778" s="318"/>
      <c r="B778" s="320"/>
      <c r="C778" s="320"/>
      <c r="D778" s="320"/>
      <c r="E778" s="320"/>
      <c r="F778" s="320"/>
      <c r="G778" s="320"/>
      <c r="H778" s="320"/>
      <c r="I778" s="320"/>
      <c r="J778" s="320"/>
      <c r="K778" s="320"/>
      <c r="L778" s="320"/>
      <c r="M778" s="320"/>
      <c r="N778" s="320"/>
      <c r="O778" s="321"/>
      <c r="P778" s="321"/>
      <c r="Y778" s="326"/>
      <c r="Z778" s="326"/>
      <c r="AA778" s="326"/>
      <c r="AB778" s="326"/>
      <c r="AC778" s="326"/>
      <c r="AD778" s="326"/>
      <c r="AG778" s="326"/>
      <c r="AH778" s="326"/>
      <c r="AI778" s="326"/>
      <c r="AL778" s="326"/>
      <c r="AM778" s="326"/>
      <c r="AN778" s="326"/>
    </row>
    <row r="779" spans="1:40" x14ac:dyDescent="0.15">
      <c r="A779" s="318"/>
      <c r="B779" s="320"/>
      <c r="C779" s="320"/>
      <c r="D779" s="320"/>
      <c r="E779" s="320"/>
      <c r="F779" s="320"/>
      <c r="G779" s="320"/>
      <c r="H779" s="320"/>
      <c r="I779" s="320"/>
      <c r="J779" s="320"/>
      <c r="K779" s="320"/>
      <c r="L779" s="320"/>
      <c r="M779" s="320"/>
      <c r="N779" s="320"/>
      <c r="O779" s="321"/>
      <c r="P779" s="321"/>
      <c r="Y779" s="326"/>
      <c r="Z779" s="326"/>
      <c r="AA779" s="326"/>
      <c r="AB779" s="326"/>
      <c r="AC779" s="326"/>
      <c r="AD779" s="326"/>
      <c r="AG779" s="326"/>
      <c r="AH779" s="326"/>
      <c r="AI779" s="326"/>
      <c r="AL779" s="326"/>
      <c r="AM779" s="326"/>
      <c r="AN779" s="326"/>
    </row>
    <row r="780" spans="1:40" x14ac:dyDescent="0.15">
      <c r="A780" s="318"/>
      <c r="B780" s="320"/>
      <c r="C780" s="320"/>
      <c r="D780" s="320"/>
      <c r="E780" s="320"/>
      <c r="F780" s="320"/>
      <c r="G780" s="320"/>
      <c r="H780" s="320"/>
      <c r="I780" s="320"/>
      <c r="J780" s="320"/>
      <c r="K780" s="320"/>
      <c r="L780" s="320"/>
      <c r="M780" s="320"/>
      <c r="N780" s="320"/>
      <c r="O780" s="321"/>
      <c r="P780" s="321"/>
      <c r="Y780" s="326"/>
      <c r="Z780" s="326"/>
      <c r="AA780" s="326"/>
      <c r="AB780" s="326"/>
      <c r="AC780" s="326"/>
      <c r="AD780" s="326"/>
      <c r="AG780" s="326"/>
      <c r="AH780" s="326"/>
      <c r="AI780" s="326"/>
      <c r="AL780" s="326"/>
      <c r="AM780" s="326"/>
      <c r="AN780" s="326"/>
    </row>
    <row r="781" spans="1:40" x14ac:dyDescent="0.15">
      <c r="A781" s="318"/>
      <c r="B781" s="320"/>
      <c r="C781" s="320"/>
      <c r="D781" s="320"/>
      <c r="E781" s="320"/>
      <c r="F781" s="320"/>
      <c r="G781" s="320"/>
      <c r="H781" s="320"/>
      <c r="I781" s="320"/>
      <c r="J781" s="320"/>
      <c r="K781" s="320"/>
      <c r="L781" s="320"/>
      <c r="M781" s="320"/>
      <c r="N781" s="320"/>
      <c r="O781" s="321"/>
      <c r="P781" s="321"/>
      <c r="Y781" s="326"/>
      <c r="Z781" s="326"/>
      <c r="AA781" s="326"/>
      <c r="AB781" s="326"/>
      <c r="AC781" s="326"/>
      <c r="AD781" s="326"/>
      <c r="AG781" s="326"/>
      <c r="AH781" s="326"/>
      <c r="AI781" s="326"/>
      <c r="AL781" s="326"/>
      <c r="AM781" s="326"/>
      <c r="AN781" s="326"/>
    </row>
    <row r="782" spans="1:40" x14ac:dyDescent="0.15">
      <c r="A782" s="318"/>
      <c r="B782" s="320"/>
      <c r="C782" s="320"/>
      <c r="D782" s="320"/>
      <c r="E782" s="320"/>
      <c r="F782" s="320"/>
      <c r="G782" s="320"/>
      <c r="H782" s="320"/>
      <c r="I782" s="320"/>
      <c r="J782" s="320"/>
      <c r="K782" s="320"/>
      <c r="L782" s="320"/>
      <c r="M782" s="320"/>
      <c r="N782" s="320"/>
      <c r="O782" s="321"/>
      <c r="P782" s="321"/>
      <c r="Y782" s="326"/>
      <c r="Z782" s="326"/>
      <c r="AA782" s="326"/>
      <c r="AB782" s="326"/>
      <c r="AC782" s="326"/>
      <c r="AD782" s="326"/>
      <c r="AG782" s="326"/>
      <c r="AH782" s="326"/>
      <c r="AI782" s="326"/>
      <c r="AL782" s="326"/>
      <c r="AM782" s="326"/>
      <c r="AN782" s="326"/>
    </row>
    <row r="783" spans="1:40" x14ac:dyDescent="0.15">
      <c r="A783" s="318"/>
      <c r="B783" s="320"/>
      <c r="C783" s="320"/>
      <c r="D783" s="320"/>
      <c r="E783" s="320"/>
      <c r="F783" s="320"/>
      <c r="G783" s="320"/>
      <c r="H783" s="320"/>
      <c r="I783" s="320"/>
      <c r="J783" s="320"/>
      <c r="K783" s="320"/>
      <c r="L783" s="320"/>
      <c r="M783" s="320"/>
      <c r="N783" s="320"/>
      <c r="O783" s="321"/>
      <c r="P783" s="321"/>
      <c r="Y783" s="326"/>
      <c r="Z783" s="326"/>
      <c r="AA783" s="326"/>
      <c r="AB783" s="326"/>
      <c r="AC783" s="326"/>
      <c r="AD783" s="326"/>
      <c r="AG783" s="326"/>
      <c r="AH783" s="326"/>
      <c r="AI783" s="326"/>
      <c r="AL783" s="326"/>
      <c r="AM783" s="326"/>
      <c r="AN783" s="326"/>
    </row>
    <row r="784" spans="1:40" x14ac:dyDescent="0.15">
      <c r="A784" s="318"/>
      <c r="B784" s="320"/>
      <c r="C784" s="320"/>
      <c r="D784" s="320"/>
      <c r="E784" s="320"/>
      <c r="F784" s="320"/>
      <c r="G784" s="320"/>
      <c r="H784" s="320"/>
      <c r="I784" s="320"/>
      <c r="J784" s="320"/>
      <c r="K784" s="320"/>
      <c r="L784" s="320"/>
      <c r="M784" s="320"/>
      <c r="N784" s="320"/>
      <c r="O784" s="321"/>
      <c r="P784" s="321"/>
      <c r="Y784" s="326"/>
      <c r="Z784" s="326"/>
      <c r="AA784" s="326"/>
      <c r="AB784" s="326"/>
      <c r="AC784" s="326"/>
      <c r="AD784" s="326"/>
      <c r="AG784" s="326"/>
      <c r="AH784" s="326"/>
      <c r="AI784" s="326"/>
      <c r="AL784" s="326"/>
      <c r="AM784" s="326"/>
      <c r="AN784" s="326"/>
    </row>
    <row r="785" spans="1:40" x14ac:dyDescent="0.15">
      <c r="A785" s="318"/>
      <c r="B785" s="320"/>
      <c r="C785" s="320"/>
      <c r="D785" s="320"/>
      <c r="E785" s="320"/>
      <c r="F785" s="320"/>
      <c r="G785" s="320"/>
      <c r="H785" s="320"/>
      <c r="I785" s="320"/>
      <c r="J785" s="320"/>
      <c r="K785" s="320"/>
      <c r="L785" s="320"/>
      <c r="M785" s="320"/>
      <c r="N785" s="320"/>
      <c r="O785" s="321"/>
      <c r="P785" s="321"/>
      <c r="Y785" s="326"/>
      <c r="Z785" s="326"/>
      <c r="AA785" s="326"/>
      <c r="AB785" s="326"/>
      <c r="AC785" s="326"/>
      <c r="AD785" s="326"/>
      <c r="AG785" s="326"/>
      <c r="AH785" s="326"/>
      <c r="AI785" s="326"/>
      <c r="AL785" s="326"/>
      <c r="AM785" s="326"/>
      <c r="AN785" s="326"/>
    </row>
    <row r="786" spans="1:40" x14ac:dyDescent="0.15">
      <c r="A786" s="318"/>
      <c r="B786" s="320"/>
      <c r="C786" s="320"/>
      <c r="D786" s="320"/>
      <c r="E786" s="320"/>
      <c r="F786" s="320"/>
      <c r="G786" s="320"/>
      <c r="H786" s="320"/>
      <c r="I786" s="320"/>
      <c r="J786" s="320"/>
      <c r="K786" s="320"/>
      <c r="L786" s="320"/>
      <c r="M786" s="320"/>
      <c r="N786" s="320"/>
      <c r="O786" s="321"/>
      <c r="P786" s="321"/>
      <c r="Y786" s="326"/>
      <c r="Z786" s="326"/>
      <c r="AA786" s="326"/>
      <c r="AB786" s="326"/>
      <c r="AC786" s="326"/>
      <c r="AD786" s="326"/>
      <c r="AG786" s="326"/>
      <c r="AH786" s="326"/>
      <c r="AI786" s="326"/>
      <c r="AL786" s="326"/>
      <c r="AM786" s="326"/>
      <c r="AN786" s="326"/>
    </row>
    <row r="787" spans="1:40" x14ac:dyDescent="0.15">
      <c r="A787" s="318"/>
      <c r="B787" s="320"/>
      <c r="C787" s="320"/>
      <c r="D787" s="320"/>
      <c r="E787" s="320"/>
      <c r="F787" s="320"/>
      <c r="G787" s="320"/>
      <c r="H787" s="320"/>
      <c r="I787" s="320"/>
      <c r="J787" s="320"/>
      <c r="K787" s="320"/>
      <c r="L787" s="320"/>
      <c r="M787" s="320"/>
      <c r="N787" s="320"/>
      <c r="O787" s="321"/>
      <c r="P787" s="321"/>
      <c r="Y787" s="326"/>
      <c r="Z787" s="326"/>
      <c r="AA787" s="326"/>
      <c r="AB787" s="326"/>
      <c r="AC787" s="326"/>
      <c r="AD787" s="326"/>
      <c r="AG787" s="326"/>
      <c r="AH787" s="326"/>
      <c r="AI787" s="326"/>
      <c r="AL787" s="326"/>
      <c r="AM787" s="326"/>
      <c r="AN787" s="326"/>
    </row>
    <row r="788" spans="1:40" x14ac:dyDescent="0.15">
      <c r="A788" s="318"/>
      <c r="B788" s="320"/>
      <c r="C788" s="320"/>
      <c r="D788" s="320"/>
      <c r="E788" s="320"/>
      <c r="F788" s="320"/>
      <c r="G788" s="320"/>
      <c r="H788" s="320"/>
      <c r="I788" s="320"/>
      <c r="J788" s="320"/>
      <c r="K788" s="320"/>
      <c r="L788" s="320"/>
      <c r="M788" s="320"/>
      <c r="N788" s="320"/>
      <c r="O788" s="321"/>
      <c r="P788" s="321"/>
      <c r="Y788" s="326"/>
      <c r="Z788" s="326"/>
      <c r="AA788" s="326"/>
      <c r="AB788" s="326"/>
      <c r="AC788" s="326"/>
      <c r="AD788" s="326"/>
      <c r="AG788" s="326"/>
      <c r="AH788" s="326"/>
      <c r="AI788" s="326"/>
      <c r="AL788" s="326"/>
      <c r="AM788" s="326"/>
      <c r="AN788" s="326"/>
    </row>
    <row r="789" spans="1:40" x14ac:dyDescent="0.15">
      <c r="A789" s="318"/>
      <c r="B789" s="320"/>
      <c r="C789" s="320"/>
      <c r="D789" s="320"/>
      <c r="E789" s="320"/>
      <c r="F789" s="320"/>
      <c r="G789" s="320"/>
      <c r="H789" s="320"/>
      <c r="I789" s="320"/>
      <c r="J789" s="320"/>
      <c r="K789" s="320"/>
      <c r="L789" s="320"/>
      <c r="M789" s="320"/>
      <c r="N789" s="320"/>
      <c r="O789" s="321"/>
      <c r="P789" s="321"/>
      <c r="Y789" s="326"/>
      <c r="Z789" s="326"/>
      <c r="AA789" s="326"/>
      <c r="AB789" s="326"/>
      <c r="AC789" s="326"/>
      <c r="AD789" s="326"/>
      <c r="AG789" s="326"/>
      <c r="AH789" s="326"/>
      <c r="AI789" s="326"/>
      <c r="AL789" s="326"/>
      <c r="AM789" s="326"/>
      <c r="AN789" s="326"/>
    </row>
    <row r="790" spans="1:40" x14ac:dyDescent="0.15">
      <c r="A790" s="318"/>
      <c r="B790" s="320"/>
      <c r="C790" s="320"/>
      <c r="D790" s="320"/>
      <c r="E790" s="320"/>
      <c r="F790" s="320"/>
      <c r="G790" s="320"/>
      <c r="H790" s="320"/>
      <c r="I790" s="320"/>
      <c r="J790" s="320"/>
      <c r="K790" s="320"/>
      <c r="L790" s="320"/>
      <c r="M790" s="320"/>
      <c r="N790" s="320"/>
      <c r="O790" s="321"/>
      <c r="P790" s="321"/>
      <c r="Y790" s="326"/>
      <c r="Z790" s="326"/>
      <c r="AA790" s="326"/>
      <c r="AB790" s="326"/>
      <c r="AC790" s="326"/>
      <c r="AD790" s="326"/>
      <c r="AG790" s="326"/>
      <c r="AH790" s="326"/>
      <c r="AI790" s="326"/>
      <c r="AL790" s="326"/>
      <c r="AM790" s="326"/>
      <c r="AN790" s="326"/>
    </row>
    <row r="791" spans="1:40" x14ac:dyDescent="0.15">
      <c r="A791" s="318"/>
      <c r="B791" s="320"/>
      <c r="C791" s="320"/>
      <c r="D791" s="320"/>
      <c r="E791" s="320"/>
      <c r="F791" s="320"/>
      <c r="G791" s="320"/>
      <c r="H791" s="320"/>
      <c r="I791" s="320"/>
      <c r="J791" s="320"/>
      <c r="K791" s="320"/>
      <c r="L791" s="320"/>
      <c r="M791" s="320"/>
      <c r="N791" s="320"/>
      <c r="O791" s="321"/>
      <c r="P791" s="321"/>
      <c r="Y791" s="326"/>
      <c r="Z791" s="326"/>
      <c r="AA791" s="326"/>
      <c r="AB791" s="326"/>
      <c r="AC791" s="326"/>
      <c r="AD791" s="326"/>
      <c r="AG791" s="326"/>
      <c r="AH791" s="326"/>
      <c r="AI791" s="326"/>
      <c r="AL791" s="326"/>
      <c r="AM791" s="326"/>
      <c r="AN791" s="326"/>
    </row>
    <row r="792" spans="1:40" x14ac:dyDescent="0.15">
      <c r="A792" s="318"/>
      <c r="B792" s="320"/>
      <c r="C792" s="320"/>
      <c r="D792" s="320"/>
      <c r="E792" s="320"/>
      <c r="F792" s="320"/>
      <c r="G792" s="320"/>
      <c r="H792" s="320"/>
      <c r="I792" s="320"/>
      <c r="J792" s="320"/>
      <c r="K792" s="320"/>
      <c r="L792" s="320"/>
      <c r="M792" s="320"/>
      <c r="N792" s="320"/>
      <c r="O792" s="321"/>
      <c r="P792" s="321"/>
      <c r="Y792" s="326"/>
      <c r="Z792" s="326"/>
      <c r="AA792" s="326"/>
      <c r="AB792" s="326"/>
      <c r="AC792" s="326"/>
      <c r="AD792" s="326"/>
      <c r="AG792" s="326"/>
      <c r="AH792" s="326"/>
      <c r="AI792" s="326"/>
      <c r="AL792" s="326"/>
      <c r="AM792" s="326"/>
      <c r="AN792" s="326"/>
    </row>
    <row r="793" spans="1:40" x14ac:dyDescent="0.15">
      <c r="A793" s="318"/>
      <c r="B793" s="320"/>
      <c r="C793" s="320"/>
      <c r="D793" s="320"/>
      <c r="E793" s="320"/>
      <c r="F793" s="320"/>
      <c r="G793" s="320"/>
      <c r="H793" s="320"/>
      <c r="I793" s="320"/>
      <c r="J793" s="320"/>
      <c r="K793" s="320"/>
      <c r="L793" s="320"/>
      <c r="M793" s="320"/>
      <c r="N793" s="320"/>
      <c r="O793" s="321"/>
      <c r="P793" s="321"/>
      <c r="Y793" s="326"/>
      <c r="Z793" s="326"/>
      <c r="AA793" s="326"/>
      <c r="AB793" s="326"/>
      <c r="AC793" s="326"/>
      <c r="AD793" s="326"/>
      <c r="AG793" s="326"/>
      <c r="AH793" s="326"/>
      <c r="AI793" s="326"/>
      <c r="AL793" s="326"/>
      <c r="AM793" s="326"/>
      <c r="AN793" s="326"/>
    </row>
    <row r="794" spans="1:40" x14ac:dyDescent="0.15">
      <c r="A794" s="318"/>
      <c r="B794" s="320"/>
      <c r="C794" s="320"/>
      <c r="D794" s="320"/>
      <c r="E794" s="320"/>
      <c r="F794" s="320"/>
      <c r="G794" s="320"/>
      <c r="H794" s="320"/>
      <c r="I794" s="320"/>
      <c r="J794" s="320"/>
      <c r="K794" s="320"/>
      <c r="L794" s="320"/>
      <c r="M794" s="320"/>
      <c r="N794" s="320"/>
      <c r="O794" s="321"/>
      <c r="P794" s="321"/>
      <c r="Y794" s="326"/>
      <c r="Z794" s="326"/>
      <c r="AA794" s="326"/>
      <c r="AB794" s="326"/>
      <c r="AC794" s="326"/>
      <c r="AD794" s="326"/>
      <c r="AG794" s="326"/>
      <c r="AH794" s="326"/>
      <c r="AI794" s="326"/>
      <c r="AL794" s="326"/>
      <c r="AM794" s="326"/>
      <c r="AN794" s="326"/>
    </row>
    <row r="795" spans="1:40" x14ac:dyDescent="0.15">
      <c r="A795" s="318"/>
      <c r="B795" s="320"/>
      <c r="C795" s="320"/>
      <c r="D795" s="320"/>
      <c r="E795" s="320"/>
      <c r="F795" s="320"/>
      <c r="G795" s="320"/>
      <c r="H795" s="320"/>
      <c r="I795" s="320"/>
      <c r="J795" s="320"/>
      <c r="K795" s="320"/>
      <c r="L795" s="320"/>
      <c r="M795" s="320"/>
      <c r="N795" s="320"/>
      <c r="O795" s="321"/>
      <c r="P795" s="321"/>
      <c r="Y795" s="326"/>
      <c r="Z795" s="326"/>
      <c r="AA795" s="326"/>
      <c r="AB795" s="326"/>
      <c r="AC795" s="326"/>
      <c r="AD795" s="326"/>
      <c r="AG795" s="326"/>
      <c r="AH795" s="326"/>
      <c r="AI795" s="326"/>
      <c r="AL795" s="326"/>
      <c r="AM795" s="326"/>
      <c r="AN795" s="326"/>
    </row>
    <row r="796" spans="1:40" x14ac:dyDescent="0.15">
      <c r="A796" s="318"/>
      <c r="B796" s="320"/>
      <c r="C796" s="320"/>
      <c r="D796" s="320"/>
      <c r="E796" s="320"/>
      <c r="F796" s="320"/>
      <c r="G796" s="320"/>
      <c r="H796" s="320"/>
      <c r="I796" s="320"/>
      <c r="J796" s="320"/>
      <c r="K796" s="320"/>
      <c r="L796" s="320"/>
      <c r="M796" s="320"/>
      <c r="N796" s="320"/>
      <c r="O796" s="321"/>
      <c r="P796" s="321"/>
      <c r="Y796" s="326"/>
      <c r="Z796" s="326"/>
      <c r="AA796" s="326"/>
      <c r="AB796" s="326"/>
      <c r="AC796" s="326"/>
      <c r="AD796" s="326"/>
      <c r="AG796" s="326"/>
      <c r="AH796" s="326"/>
      <c r="AI796" s="326"/>
      <c r="AL796" s="326"/>
      <c r="AM796" s="326"/>
      <c r="AN796" s="326"/>
    </row>
    <row r="797" spans="1:40" x14ac:dyDescent="0.15">
      <c r="A797" s="318"/>
      <c r="B797" s="320"/>
      <c r="C797" s="320"/>
      <c r="D797" s="320"/>
      <c r="E797" s="320"/>
      <c r="F797" s="320"/>
      <c r="G797" s="320"/>
      <c r="H797" s="320"/>
      <c r="I797" s="320"/>
      <c r="J797" s="320"/>
      <c r="K797" s="320"/>
      <c r="L797" s="320"/>
      <c r="M797" s="320"/>
      <c r="N797" s="320"/>
      <c r="O797" s="321"/>
      <c r="P797" s="321"/>
      <c r="Y797" s="326"/>
      <c r="Z797" s="326"/>
      <c r="AA797" s="326"/>
      <c r="AB797" s="326"/>
      <c r="AC797" s="326"/>
      <c r="AD797" s="326"/>
      <c r="AG797" s="326"/>
      <c r="AH797" s="326"/>
      <c r="AI797" s="326"/>
      <c r="AL797" s="326"/>
      <c r="AM797" s="326"/>
      <c r="AN797" s="326"/>
    </row>
    <row r="798" spans="1:40" x14ac:dyDescent="0.15">
      <c r="A798" s="318"/>
      <c r="B798" s="320"/>
      <c r="C798" s="320"/>
      <c r="D798" s="320"/>
      <c r="E798" s="320"/>
      <c r="F798" s="320"/>
      <c r="G798" s="320"/>
      <c r="H798" s="320"/>
      <c r="I798" s="320"/>
      <c r="J798" s="320"/>
      <c r="K798" s="320"/>
      <c r="L798" s="320"/>
      <c r="M798" s="320"/>
      <c r="N798" s="320"/>
      <c r="O798" s="321"/>
      <c r="P798" s="321"/>
      <c r="Y798" s="326"/>
      <c r="Z798" s="326"/>
      <c r="AA798" s="326"/>
      <c r="AB798" s="326"/>
      <c r="AC798" s="326"/>
      <c r="AD798" s="326"/>
      <c r="AG798" s="326"/>
      <c r="AH798" s="326"/>
      <c r="AI798" s="326"/>
      <c r="AL798" s="326"/>
      <c r="AM798" s="326"/>
      <c r="AN798" s="326"/>
    </row>
    <row r="799" spans="1:40" x14ac:dyDescent="0.15">
      <c r="A799" s="318"/>
      <c r="B799" s="320"/>
      <c r="C799" s="320"/>
      <c r="D799" s="320"/>
      <c r="E799" s="320"/>
      <c r="F799" s="320"/>
      <c r="G799" s="320"/>
      <c r="H799" s="320"/>
      <c r="I799" s="320"/>
      <c r="J799" s="320"/>
      <c r="K799" s="320"/>
      <c r="L799" s="320"/>
      <c r="M799" s="320"/>
      <c r="N799" s="320"/>
      <c r="O799" s="321"/>
      <c r="P799" s="321"/>
      <c r="Y799" s="326"/>
      <c r="Z799" s="326"/>
      <c r="AA799" s="326"/>
      <c r="AB799" s="326"/>
      <c r="AC799" s="326"/>
      <c r="AD799" s="326"/>
      <c r="AG799" s="326"/>
      <c r="AH799" s="326"/>
      <c r="AI799" s="326"/>
      <c r="AL799" s="326"/>
      <c r="AM799" s="326"/>
      <c r="AN799" s="326"/>
    </row>
    <row r="800" spans="1:40" x14ac:dyDescent="0.15">
      <c r="A800" s="318"/>
      <c r="B800" s="320"/>
      <c r="C800" s="320"/>
      <c r="D800" s="320"/>
      <c r="E800" s="320"/>
      <c r="F800" s="320"/>
      <c r="G800" s="320"/>
      <c r="H800" s="320"/>
      <c r="I800" s="320"/>
      <c r="J800" s="320"/>
      <c r="K800" s="320"/>
      <c r="L800" s="320"/>
      <c r="M800" s="320"/>
      <c r="N800" s="320"/>
      <c r="O800" s="321"/>
      <c r="P800" s="321"/>
      <c r="Y800" s="326"/>
      <c r="Z800" s="326"/>
      <c r="AA800" s="326"/>
      <c r="AB800" s="326"/>
      <c r="AC800" s="326"/>
      <c r="AD800" s="326"/>
      <c r="AG800" s="326"/>
      <c r="AH800" s="326"/>
      <c r="AI800" s="326"/>
      <c r="AL800" s="326"/>
      <c r="AM800" s="326"/>
      <c r="AN800" s="326"/>
    </row>
    <row r="801" spans="1:40" x14ac:dyDescent="0.15">
      <c r="A801" s="318"/>
      <c r="B801" s="320"/>
      <c r="C801" s="320"/>
      <c r="D801" s="320"/>
      <c r="E801" s="320"/>
      <c r="F801" s="320"/>
      <c r="G801" s="320"/>
      <c r="H801" s="320"/>
      <c r="I801" s="320"/>
      <c r="J801" s="320"/>
      <c r="K801" s="320"/>
      <c r="L801" s="320"/>
      <c r="M801" s="320"/>
      <c r="N801" s="320"/>
      <c r="O801" s="321"/>
      <c r="P801" s="321"/>
      <c r="Y801" s="326"/>
      <c r="Z801" s="326"/>
      <c r="AA801" s="326"/>
      <c r="AB801" s="326"/>
      <c r="AC801" s="326"/>
      <c r="AD801" s="326"/>
      <c r="AG801" s="326"/>
      <c r="AH801" s="326"/>
      <c r="AI801" s="326"/>
      <c r="AL801" s="326"/>
      <c r="AM801" s="326"/>
      <c r="AN801" s="326"/>
    </row>
    <row r="802" spans="1:40" x14ac:dyDescent="0.15">
      <c r="A802" s="318"/>
      <c r="B802" s="320"/>
      <c r="C802" s="320"/>
      <c r="D802" s="320"/>
      <c r="E802" s="320"/>
      <c r="F802" s="320"/>
      <c r="G802" s="320"/>
      <c r="H802" s="320"/>
      <c r="I802" s="320"/>
      <c r="J802" s="320"/>
      <c r="K802" s="320"/>
      <c r="L802" s="320"/>
      <c r="M802" s="320"/>
      <c r="N802" s="320"/>
      <c r="O802" s="321"/>
      <c r="P802" s="321"/>
      <c r="Y802" s="326"/>
      <c r="Z802" s="326"/>
      <c r="AA802" s="326"/>
      <c r="AB802" s="326"/>
      <c r="AC802" s="326"/>
      <c r="AD802" s="326"/>
      <c r="AG802" s="326"/>
      <c r="AH802" s="326"/>
      <c r="AI802" s="326"/>
      <c r="AL802" s="326"/>
      <c r="AM802" s="326"/>
      <c r="AN802" s="326"/>
    </row>
    <row r="803" spans="1:40" x14ac:dyDescent="0.15">
      <c r="A803" s="318"/>
      <c r="B803" s="320"/>
      <c r="C803" s="320"/>
      <c r="D803" s="320"/>
      <c r="E803" s="320"/>
      <c r="F803" s="320"/>
      <c r="G803" s="320"/>
      <c r="H803" s="320"/>
      <c r="I803" s="320"/>
      <c r="J803" s="320"/>
      <c r="K803" s="320"/>
      <c r="L803" s="320"/>
      <c r="M803" s="320"/>
      <c r="N803" s="320"/>
      <c r="O803" s="321"/>
      <c r="P803" s="321"/>
      <c r="Y803" s="326"/>
      <c r="Z803" s="326"/>
      <c r="AA803" s="326"/>
      <c r="AB803" s="326"/>
      <c r="AC803" s="326"/>
      <c r="AD803" s="326"/>
      <c r="AG803" s="326"/>
      <c r="AH803" s="326"/>
      <c r="AI803" s="326"/>
      <c r="AL803" s="326"/>
      <c r="AM803" s="326"/>
      <c r="AN803" s="326"/>
    </row>
    <row r="804" spans="1:40" x14ac:dyDescent="0.15">
      <c r="A804" s="318"/>
      <c r="B804" s="320"/>
      <c r="C804" s="320"/>
      <c r="D804" s="320"/>
      <c r="E804" s="320"/>
      <c r="F804" s="320"/>
      <c r="G804" s="320"/>
      <c r="H804" s="320"/>
      <c r="I804" s="320"/>
      <c r="J804" s="320"/>
      <c r="K804" s="320"/>
      <c r="L804" s="320"/>
      <c r="M804" s="320"/>
      <c r="N804" s="320"/>
      <c r="O804" s="321"/>
      <c r="P804" s="321"/>
      <c r="Y804" s="326"/>
      <c r="Z804" s="326"/>
      <c r="AA804" s="326"/>
      <c r="AB804" s="326"/>
      <c r="AC804" s="326"/>
      <c r="AD804" s="326"/>
      <c r="AG804" s="326"/>
      <c r="AH804" s="326"/>
      <c r="AI804" s="326"/>
      <c r="AL804" s="326"/>
      <c r="AM804" s="326"/>
      <c r="AN804" s="326"/>
    </row>
    <row r="805" spans="1:40" x14ac:dyDescent="0.15">
      <c r="A805" s="318"/>
      <c r="B805" s="320"/>
      <c r="C805" s="320"/>
      <c r="D805" s="320"/>
      <c r="E805" s="320"/>
      <c r="F805" s="320"/>
      <c r="G805" s="320"/>
      <c r="H805" s="320"/>
      <c r="I805" s="320"/>
      <c r="J805" s="320"/>
      <c r="K805" s="320"/>
      <c r="L805" s="320"/>
      <c r="M805" s="320"/>
      <c r="N805" s="320"/>
      <c r="O805" s="321"/>
      <c r="P805" s="321"/>
      <c r="Y805" s="326"/>
      <c r="Z805" s="326"/>
      <c r="AA805" s="326"/>
      <c r="AB805" s="326"/>
      <c r="AC805" s="326"/>
      <c r="AD805" s="326"/>
      <c r="AG805" s="326"/>
      <c r="AH805" s="326"/>
      <c r="AI805" s="326"/>
      <c r="AL805" s="326"/>
      <c r="AM805" s="326"/>
      <c r="AN805" s="326"/>
    </row>
    <row r="806" spans="1:40" x14ac:dyDescent="0.15">
      <c r="A806" s="318"/>
      <c r="B806" s="320"/>
      <c r="C806" s="320"/>
      <c r="D806" s="320"/>
      <c r="E806" s="320"/>
      <c r="F806" s="320"/>
      <c r="G806" s="320"/>
      <c r="H806" s="320"/>
      <c r="I806" s="320"/>
      <c r="J806" s="320"/>
      <c r="K806" s="320"/>
      <c r="L806" s="320"/>
      <c r="M806" s="320"/>
      <c r="N806" s="320"/>
      <c r="O806" s="321"/>
      <c r="P806" s="321"/>
      <c r="Y806" s="326"/>
      <c r="Z806" s="326"/>
      <c r="AA806" s="326"/>
      <c r="AB806" s="326"/>
      <c r="AC806" s="326"/>
      <c r="AD806" s="326"/>
      <c r="AG806" s="326"/>
      <c r="AH806" s="326"/>
      <c r="AI806" s="326"/>
      <c r="AL806" s="326"/>
      <c r="AM806" s="326"/>
      <c r="AN806" s="326"/>
    </row>
    <row r="807" spans="1:40" x14ac:dyDescent="0.15">
      <c r="A807" s="318"/>
      <c r="B807" s="320"/>
      <c r="C807" s="320"/>
      <c r="D807" s="320"/>
      <c r="E807" s="320"/>
      <c r="F807" s="320"/>
      <c r="G807" s="320"/>
      <c r="H807" s="320"/>
      <c r="I807" s="320"/>
      <c r="J807" s="320"/>
      <c r="K807" s="320"/>
      <c r="L807" s="320"/>
      <c r="M807" s="320"/>
      <c r="N807" s="320"/>
      <c r="O807" s="321"/>
      <c r="P807" s="321"/>
      <c r="Y807" s="326"/>
      <c r="Z807" s="326"/>
      <c r="AA807" s="326"/>
      <c r="AB807" s="326"/>
      <c r="AC807" s="326"/>
      <c r="AD807" s="326"/>
      <c r="AG807" s="326"/>
      <c r="AH807" s="326"/>
      <c r="AI807" s="326"/>
      <c r="AL807" s="326"/>
      <c r="AM807" s="326"/>
      <c r="AN807" s="326"/>
    </row>
    <row r="808" spans="1:40" x14ac:dyDescent="0.15">
      <c r="A808" s="318"/>
      <c r="B808" s="320"/>
      <c r="C808" s="320"/>
      <c r="D808" s="320"/>
      <c r="E808" s="320"/>
      <c r="F808" s="320"/>
      <c r="G808" s="320"/>
      <c r="H808" s="320"/>
      <c r="I808" s="320"/>
      <c r="J808" s="320"/>
      <c r="K808" s="320"/>
      <c r="L808" s="320"/>
      <c r="M808" s="320"/>
      <c r="N808" s="320"/>
      <c r="O808" s="321"/>
      <c r="P808" s="321"/>
      <c r="Y808" s="326"/>
      <c r="Z808" s="326"/>
      <c r="AA808" s="326"/>
      <c r="AB808" s="326"/>
      <c r="AC808" s="326"/>
      <c r="AD808" s="326"/>
      <c r="AG808" s="326"/>
      <c r="AH808" s="326"/>
      <c r="AI808" s="326"/>
      <c r="AL808" s="326"/>
      <c r="AM808" s="326"/>
      <c r="AN808" s="326"/>
    </row>
    <row r="809" spans="1:40" x14ac:dyDescent="0.15">
      <c r="A809" s="318"/>
      <c r="B809" s="320"/>
      <c r="C809" s="320"/>
      <c r="D809" s="320"/>
      <c r="E809" s="320"/>
      <c r="F809" s="320"/>
      <c r="G809" s="320"/>
      <c r="H809" s="320"/>
      <c r="I809" s="320"/>
      <c r="J809" s="320"/>
      <c r="K809" s="320"/>
      <c r="L809" s="320"/>
      <c r="M809" s="320"/>
      <c r="N809" s="320"/>
      <c r="O809" s="321"/>
      <c r="P809" s="321"/>
      <c r="Y809" s="326"/>
      <c r="Z809" s="326"/>
      <c r="AA809" s="326"/>
      <c r="AB809" s="326"/>
      <c r="AC809" s="326"/>
      <c r="AD809" s="326"/>
      <c r="AG809" s="326"/>
      <c r="AH809" s="326"/>
      <c r="AI809" s="326"/>
      <c r="AL809" s="326"/>
      <c r="AM809" s="326"/>
      <c r="AN809" s="326"/>
    </row>
    <row r="810" spans="1:40" x14ac:dyDescent="0.15">
      <c r="A810" s="318"/>
      <c r="B810" s="320"/>
      <c r="C810" s="320"/>
      <c r="D810" s="320"/>
      <c r="E810" s="320"/>
      <c r="F810" s="320"/>
      <c r="G810" s="320"/>
      <c r="H810" s="320"/>
      <c r="I810" s="320"/>
      <c r="J810" s="320"/>
      <c r="K810" s="320"/>
      <c r="L810" s="320"/>
      <c r="M810" s="320"/>
      <c r="N810" s="320"/>
      <c r="O810" s="321"/>
      <c r="P810" s="321"/>
      <c r="Y810" s="326"/>
      <c r="Z810" s="326"/>
      <c r="AA810" s="326"/>
      <c r="AB810" s="326"/>
      <c r="AC810" s="326"/>
      <c r="AD810" s="326"/>
      <c r="AG810" s="326"/>
      <c r="AH810" s="326"/>
      <c r="AI810" s="326"/>
      <c r="AL810" s="326"/>
      <c r="AM810" s="326"/>
      <c r="AN810" s="326"/>
    </row>
    <row r="811" spans="1:40" x14ac:dyDescent="0.15">
      <c r="A811" s="318"/>
      <c r="B811" s="320"/>
      <c r="C811" s="320"/>
      <c r="D811" s="320"/>
      <c r="E811" s="320"/>
      <c r="F811" s="320"/>
      <c r="G811" s="320"/>
      <c r="H811" s="320"/>
      <c r="I811" s="320"/>
      <c r="J811" s="320"/>
      <c r="K811" s="320"/>
      <c r="L811" s="320"/>
      <c r="M811" s="320"/>
      <c r="N811" s="320"/>
      <c r="O811" s="321"/>
      <c r="P811" s="321"/>
      <c r="Y811" s="326"/>
      <c r="Z811" s="326"/>
      <c r="AA811" s="326"/>
      <c r="AB811" s="326"/>
      <c r="AC811" s="326"/>
      <c r="AD811" s="326"/>
      <c r="AG811" s="326"/>
      <c r="AH811" s="326"/>
      <c r="AI811" s="326"/>
      <c r="AL811" s="326"/>
      <c r="AM811" s="326"/>
      <c r="AN811" s="326"/>
    </row>
    <row r="812" spans="1:40" x14ac:dyDescent="0.15">
      <c r="A812" s="318"/>
      <c r="B812" s="320"/>
      <c r="C812" s="320"/>
      <c r="D812" s="320"/>
      <c r="E812" s="320"/>
      <c r="F812" s="320"/>
      <c r="G812" s="320"/>
      <c r="H812" s="320"/>
      <c r="I812" s="320"/>
      <c r="J812" s="320"/>
      <c r="K812" s="320"/>
      <c r="L812" s="320"/>
      <c r="M812" s="320"/>
      <c r="N812" s="320"/>
      <c r="O812" s="321"/>
      <c r="P812" s="321"/>
      <c r="Y812" s="326"/>
      <c r="Z812" s="326"/>
      <c r="AA812" s="326"/>
      <c r="AB812" s="326"/>
      <c r="AC812" s="326"/>
      <c r="AD812" s="326"/>
      <c r="AG812" s="326"/>
      <c r="AH812" s="326"/>
      <c r="AI812" s="326"/>
      <c r="AL812" s="326"/>
      <c r="AM812" s="326"/>
      <c r="AN812" s="326"/>
    </row>
    <row r="813" spans="1:40" x14ac:dyDescent="0.15">
      <c r="A813" s="318"/>
      <c r="B813" s="320"/>
      <c r="C813" s="320"/>
      <c r="D813" s="320"/>
      <c r="E813" s="320"/>
      <c r="F813" s="320"/>
      <c r="G813" s="320"/>
      <c r="H813" s="320"/>
      <c r="I813" s="320"/>
      <c r="J813" s="320"/>
      <c r="K813" s="320"/>
      <c r="L813" s="320"/>
      <c r="M813" s="320"/>
      <c r="N813" s="320"/>
      <c r="O813" s="321"/>
      <c r="P813" s="321"/>
      <c r="Y813" s="326"/>
      <c r="Z813" s="326"/>
      <c r="AA813" s="326"/>
      <c r="AB813" s="326"/>
      <c r="AC813" s="326"/>
      <c r="AD813" s="326"/>
      <c r="AG813" s="326"/>
      <c r="AH813" s="326"/>
      <c r="AI813" s="326"/>
      <c r="AL813" s="326"/>
      <c r="AM813" s="326"/>
      <c r="AN813" s="326"/>
    </row>
    <row r="814" spans="1:40" x14ac:dyDescent="0.15">
      <c r="A814" s="318"/>
      <c r="B814" s="320"/>
      <c r="C814" s="320"/>
      <c r="D814" s="320"/>
      <c r="E814" s="320"/>
      <c r="F814" s="320"/>
      <c r="G814" s="320"/>
      <c r="H814" s="320"/>
      <c r="I814" s="320"/>
      <c r="J814" s="320"/>
      <c r="K814" s="320"/>
      <c r="L814" s="320"/>
      <c r="M814" s="320"/>
      <c r="N814" s="320"/>
      <c r="O814" s="321"/>
      <c r="P814" s="321"/>
      <c r="Y814" s="326"/>
      <c r="Z814" s="326"/>
      <c r="AA814" s="326"/>
      <c r="AB814" s="326"/>
      <c r="AC814" s="326"/>
      <c r="AD814" s="326"/>
      <c r="AG814" s="326"/>
      <c r="AH814" s="326"/>
      <c r="AI814" s="326"/>
      <c r="AL814" s="326"/>
      <c r="AM814" s="326"/>
      <c r="AN814" s="326"/>
    </row>
    <row r="815" spans="1:40" x14ac:dyDescent="0.15">
      <c r="A815" s="318"/>
      <c r="B815" s="320"/>
      <c r="C815" s="320"/>
      <c r="D815" s="320"/>
      <c r="E815" s="320"/>
      <c r="F815" s="320"/>
      <c r="G815" s="320"/>
      <c r="H815" s="320"/>
      <c r="I815" s="320"/>
      <c r="J815" s="320"/>
      <c r="K815" s="320"/>
      <c r="L815" s="320"/>
      <c r="M815" s="320"/>
      <c r="N815" s="320"/>
      <c r="O815" s="321"/>
      <c r="P815" s="321"/>
      <c r="Y815" s="326"/>
      <c r="Z815" s="326"/>
      <c r="AA815" s="326"/>
      <c r="AB815" s="326"/>
      <c r="AC815" s="326"/>
      <c r="AD815" s="326"/>
      <c r="AG815" s="326"/>
      <c r="AH815" s="326"/>
      <c r="AI815" s="326"/>
      <c r="AL815" s="326"/>
      <c r="AM815" s="326"/>
      <c r="AN815" s="326"/>
    </row>
    <row r="816" spans="1:40" x14ac:dyDescent="0.15">
      <c r="A816" s="318"/>
      <c r="B816" s="320"/>
      <c r="C816" s="320"/>
      <c r="D816" s="320"/>
      <c r="E816" s="320"/>
      <c r="F816" s="320"/>
      <c r="G816" s="320"/>
      <c r="H816" s="320"/>
      <c r="I816" s="320"/>
      <c r="J816" s="320"/>
      <c r="K816" s="320"/>
      <c r="L816" s="320"/>
      <c r="M816" s="320"/>
      <c r="N816" s="320"/>
      <c r="O816" s="321"/>
      <c r="P816" s="321"/>
      <c r="Y816" s="326"/>
      <c r="Z816" s="326"/>
      <c r="AA816" s="326"/>
      <c r="AB816" s="326"/>
      <c r="AC816" s="326"/>
      <c r="AD816" s="326"/>
      <c r="AG816" s="326"/>
      <c r="AH816" s="326"/>
      <c r="AI816" s="326"/>
      <c r="AL816" s="326"/>
      <c r="AM816" s="326"/>
      <c r="AN816" s="326"/>
    </row>
    <row r="817" spans="1:40" x14ac:dyDescent="0.15">
      <c r="A817" s="318"/>
      <c r="B817" s="320"/>
      <c r="C817" s="320"/>
      <c r="D817" s="320"/>
      <c r="E817" s="320"/>
      <c r="F817" s="320"/>
      <c r="G817" s="320"/>
      <c r="H817" s="320"/>
      <c r="I817" s="320"/>
      <c r="J817" s="320"/>
      <c r="K817" s="320"/>
      <c r="L817" s="320"/>
      <c r="M817" s="320"/>
      <c r="N817" s="320"/>
      <c r="O817" s="321"/>
      <c r="P817" s="321"/>
      <c r="Y817" s="326"/>
      <c r="Z817" s="326"/>
      <c r="AA817" s="326"/>
      <c r="AB817" s="326"/>
      <c r="AC817" s="326"/>
      <c r="AD817" s="326"/>
      <c r="AG817" s="326"/>
      <c r="AH817" s="326"/>
      <c r="AI817" s="326"/>
      <c r="AL817" s="326"/>
      <c r="AM817" s="326"/>
      <c r="AN817" s="326"/>
    </row>
    <row r="818" spans="1:40" x14ac:dyDescent="0.15">
      <c r="A818" s="318"/>
      <c r="B818" s="320"/>
      <c r="C818" s="320"/>
      <c r="D818" s="320"/>
      <c r="E818" s="320"/>
      <c r="F818" s="320"/>
      <c r="G818" s="320"/>
      <c r="H818" s="320"/>
      <c r="I818" s="320"/>
      <c r="J818" s="320"/>
      <c r="K818" s="320"/>
      <c r="L818" s="320"/>
      <c r="M818" s="320"/>
      <c r="N818" s="320"/>
      <c r="O818" s="321"/>
      <c r="P818" s="321"/>
      <c r="Y818" s="326"/>
      <c r="Z818" s="326"/>
      <c r="AA818" s="326"/>
      <c r="AB818" s="326"/>
      <c r="AC818" s="326"/>
      <c r="AD818" s="326"/>
      <c r="AG818" s="326"/>
      <c r="AH818" s="326"/>
      <c r="AI818" s="326"/>
      <c r="AL818" s="326"/>
      <c r="AM818" s="326"/>
      <c r="AN818" s="326"/>
    </row>
    <row r="819" spans="1:40" x14ac:dyDescent="0.15">
      <c r="A819" s="318"/>
      <c r="B819" s="320"/>
      <c r="C819" s="320"/>
      <c r="D819" s="320"/>
      <c r="E819" s="320"/>
      <c r="F819" s="320"/>
      <c r="G819" s="320"/>
      <c r="H819" s="320"/>
      <c r="I819" s="320"/>
      <c r="J819" s="320"/>
      <c r="K819" s="320"/>
      <c r="L819" s="320"/>
      <c r="M819" s="320"/>
      <c r="N819" s="320"/>
      <c r="O819" s="321"/>
      <c r="P819" s="321"/>
      <c r="Y819" s="326"/>
      <c r="Z819" s="326"/>
      <c r="AA819" s="326"/>
      <c r="AB819" s="326"/>
      <c r="AC819" s="326"/>
      <c r="AD819" s="326"/>
      <c r="AG819" s="326"/>
      <c r="AH819" s="326"/>
      <c r="AI819" s="326"/>
      <c r="AL819" s="326"/>
      <c r="AM819" s="326"/>
      <c r="AN819" s="326"/>
    </row>
    <row r="820" spans="1:40" x14ac:dyDescent="0.15">
      <c r="A820" s="318"/>
      <c r="B820" s="320"/>
      <c r="C820" s="320"/>
      <c r="D820" s="320"/>
      <c r="E820" s="320"/>
      <c r="F820" s="320"/>
      <c r="G820" s="320"/>
      <c r="H820" s="320"/>
      <c r="I820" s="320"/>
      <c r="J820" s="320"/>
      <c r="K820" s="320"/>
      <c r="L820" s="320"/>
      <c r="M820" s="320"/>
      <c r="N820" s="320"/>
      <c r="O820" s="321"/>
      <c r="P820" s="321"/>
      <c r="Y820" s="326"/>
      <c r="Z820" s="326"/>
      <c r="AA820" s="326"/>
      <c r="AB820" s="326"/>
      <c r="AC820" s="326"/>
      <c r="AD820" s="326"/>
      <c r="AG820" s="326"/>
      <c r="AH820" s="326"/>
      <c r="AI820" s="326"/>
      <c r="AL820" s="326"/>
      <c r="AM820" s="326"/>
      <c r="AN820" s="326"/>
    </row>
    <row r="821" spans="1:40" x14ac:dyDescent="0.15">
      <c r="A821" s="318"/>
      <c r="B821" s="320"/>
      <c r="C821" s="320"/>
      <c r="D821" s="320"/>
      <c r="E821" s="320"/>
      <c r="F821" s="320"/>
      <c r="G821" s="320"/>
      <c r="H821" s="320"/>
      <c r="I821" s="320"/>
      <c r="J821" s="320"/>
      <c r="K821" s="320"/>
      <c r="L821" s="320"/>
      <c r="M821" s="320"/>
      <c r="N821" s="320"/>
      <c r="O821" s="321"/>
      <c r="P821" s="321"/>
      <c r="Y821" s="326"/>
      <c r="Z821" s="326"/>
      <c r="AA821" s="326"/>
      <c r="AB821" s="326"/>
      <c r="AC821" s="326"/>
      <c r="AD821" s="326"/>
      <c r="AG821" s="326"/>
      <c r="AH821" s="326"/>
      <c r="AI821" s="326"/>
      <c r="AL821" s="326"/>
      <c r="AM821" s="326"/>
      <c r="AN821" s="326"/>
    </row>
    <row r="822" spans="1:40" x14ac:dyDescent="0.15">
      <c r="A822" s="318"/>
      <c r="B822" s="320"/>
      <c r="C822" s="320"/>
      <c r="D822" s="320"/>
      <c r="E822" s="320"/>
      <c r="F822" s="320"/>
      <c r="G822" s="320"/>
      <c r="H822" s="320"/>
      <c r="I822" s="320"/>
      <c r="J822" s="320"/>
      <c r="K822" s="320"/>
      <c r="L822" s="320"/>
      <c r="M822" s="320"/>
      <c r="N822" s="320"/>
      <c r="O822" s="321"/>
      <c r="P822" s="321"/>
      <c r="Y822" s="326"/>
      <c r="Z822" s="326"/>
      <c r="AA822" s="326"/>
      <c r="AB822" s="326"/>
      <c r="AC822" s="326"/>
      <c r="AD822" s="326"/>
      <c r="AG822" s="326"/>
      <c r="AH822" s="326"/>
      <c r="AI822" s="326"/>
      <c r="AL822" s="326"/>
      <c r="AM822" s="326"/>
      <c r="AN822" s="326"/>
    </row>
    <row r="823" spans="1:40" x14ac:dyDescent="0.15">
      <c r="A823" s="318"/>
      <c r="B823" s="320"/>
      <c r="C823" s="320"/>
      <c r="D823" s="320"/>
      <c r="E823" s="320"/>
      <c r="F823" s="320"/>
      <c r="G823" s="320"/>
      <c r="H823" s="320"/>
      <c r="I823" s="320"/>
      <c r="J823" s="320"/>
      <c r="K823" s="320"/>
      <c r="L823" s="320"/>
      <c r="M823" s="320"/>
      <c r="N823" s="320"/>
      <c r="O823" s="321"/>
      <c r="P823" s="321"/>
      <c r="Y823" s="326"/>
      <c r="Z823" s="326"/>
      <c r="AA823" s="326"/>
      <c r="AB823" s="326"/>
      <c r="AC823" s="326"/>
      <c r="AD823" s="326"/>
      <c r="AG823" s="326"/>
      <c r="AH823" s="326"/>
      <c r="AI823" s="326"/>
      <c r="AL823" s="326"/>
      <c r="AM823" s="326"/>
      <c r="AN823" s="326"/>
    </row>
    <row r="824" spans="1:40" x14ac:dyDescent="0.15">
      <c r="A824" s="318"/>
      <c r="B824" s="320"/>
      <c r="C824" s="320"/>
      <c r="D824" s="320"/>
      <c r="E824" s="320"/>
      <c r="F824" s="320"/>
      <c r="G824" s="320"/>
      <c r="H824" s="320"/>
      <c r="I824" s="320"/>
      <c r="J824" s="320"/>
      <c r="K824" s="320"/>
      <c r="L824" s="320"/>
      <c r="M824" s="320"/>
      <c r="N824" s="320"/>
      <c r="O824" s="321"/>
      <c r="P824" s="321"/>
      <c r="Y824" s="326"/>
      <c r="Z824" s="326"/>
      <c r="AA824" s="326"/>
      <c r="AB824" s="326"/>
      <c r="AC824" s="326"/>
      <c r="AD824" s="326"/>
      <c r="AG824" s="326"/>
      <c r="AH824" s="326"/>
      <c r="AI824" s="326"/>
      <c r="AL824" s="326"/>
      <c r="AM824" s="326"/>
      <c r="AN824" s="326"/>
    </row>
    <row r="825" spans="1:40" x14ac:dyDescent="0.15">
      <c r="A825" s="318"/>
      <c r="B825" s="320"/>
      <c r="C825" s="320"/>
      <c r="D825" s="320"/>
      <c r="E825" s="320"/>
      <c r="F825" s="320"/>
      <c r="G825" s="320"/>
      <c r="H825" s="320"/>
      <c r="I825" s="320"/>
      <c r="J825" s="320"/>
      <c r="K825" s="320"/>
      <c r="L825" s="320"/>
      <c r="M825" s="320"/>
      <c r="N825" s="320"/>
      <c r="O825" s="321"/>
      <c r="P825" s="321"/>
      <c r="Y825" s="326"/>
      <c r="Z825" s="326"/>
      <c r="AA825" s="326"/>
      <c r="AB825" s="326"/>
      <c r="AC825" s="326"/>
      <c r="AD825" s="326"/>
      <c r="AG825" s="326"/>
      <c r="AH825" s="326"/>
      <c r="AI825" s="326"/>
      <c r="AL825" s="326"/>
      <c r="AM825" s="326"/>
      <c r="AN825" s="326"/>
    </row>
    <row r="826" spans="1:40" x14ac:dyDescent="0.15">
      <c r="A826" s="318"/>
      <c r="B826" s="320"/>
      <c r="C826" s="320"/>
      <c r="D826" s="320"/>
      <c r="E826" s="320"/>
      <c r="F826" s="320"/>
      <c r="G826" s="320"/>
      <c r="H826" s="320"/>
      <c r="I826" s="320"/>
      <c r="J826" s="320"/>
      <c r="K826" s="320"/>
      <c r="L826" s="320"/>
      <c r="M826" s="320"/>
      <c r="N826" s="320"/>
      <c r="O826" s="321"/>
      <c r="P826" s="321"/>
      <c r="Y826" s="326"/>
      <c r="Z826" s="326"/>
      <c r="AA826" s="326"/>
      <c r="AB826" s="326"/>
      <c r="AC826" s="326"/>
      <c r="AD826" s="326"/>
      <c r="AG826" s="326"/>
      <c r="AH826" s="326"/>
      <c r="AI826" s="326"/>
      <c r="AL826" s="326"/>
      <c r="AM826" s="326"/>
      <c r="AN826" s="326"/>
    </row>
    <row r="827" spans="1:40" x14ac:dyDescent="0.15">
      <c r="A827" s="318"/>
      <c r="B827" s="320"/>
      <c r="C827" s="320"/>
      <c r="D827" s="320"/>
      <c r="E827" s="320"/>
      <c r="F827" s="320"/>
      <c r="G827" s="320"/>
      <c r="H827" s="320"/>
      <c r="I827" s="320"/>
      <c r="J827" s="320"/>
      <c r="K827" s="320"/>
      <c r="L827" s="320"/>
      <c r="M827" s="320"/>
      <c r="N827" s="320"/>
      <c r="O827" s="321"/>
      <c r="P827" s="321"/>
      <c r="Y827" s="326"/>
      <c r="Z827" s="326"/>
      <c r="AA827" s="326"/>
      <c r="AB827" s="326"/>
      <c r="AC827" s="326"/>
      <c r="AD827" s="326"/>
      <c r="AG827" s="326"/>
      <c r="AH827" s="326"/>
      <c r="AI827" s="326"/>
      <c r="AL827" s="326"/>
      <c r="AM827" s="326"/>
      <c r="AN827" s="326"/>
    </row>
    <row r="828" spans="1:40" x14ac:dyDescent="0.15">
      <c r="A828" s="318"/>
      <c r="B828" s="320"/>
      <c r="C828" s="320"/>
      <c r="D828" s="320"/>
      <c r="E828" s="320"/>
      <c r="F828" s="320"/>
      <c r="G828" s="320"/>
      <c r="H828" s="320"/>
      <c r="I828" s="320"/>
      <c r="J828" s="320"/>
      <c r="K828" s="320"/>
      <c r="L828" s="320"/>
      <c r="M828" s="320"/>
      <c r="N828" s="320"/>
      <c r="O828" s="321"/>
      <c r="P828" s="321"/>
      <c r="Y828" s="326"/>
      <c r="Z828" s="326"/>
      <c r="AA828" s="326"/>
      <c r="AB828" s="326"/>
      <c r="AC828" s="326"/>
      <c r="AD828" s="326"/>
      <c r="AG828" s="326"/>
      <c r="AH828" s="326"/>
      <c r="AI828" s="326"/>
      <c r="AL828" s="326"/>
      <c r="AM828" s="326"/>
      <c r="AN828" s="326"/>
    </row>
    <row r="829" spans="1:40" x14ac:dyDescent="0.15">
      <c r="A829" s="318"/>
      <c r="B829" s="320"/>
      <c r="C829" s="320"/>
      <c r="D829" s="320"/>
      <c r="E829" s="320"/>
      <c r="F829" s="320"/>
      <c r="G829" s="320"/>
      <c r="H829" s="320"/>
      <c r="I829" s="320"/>
      <c r="J829" s="320"/>
      <c r="K829" s="320"/>
      <c r="L829" s="320"/>
      <c r="M829" s="320"/>
      <c r="N829" s="320"/>
      <c r="O829" s="321"/>
      <c r="P829" s="321"/>
      <c r="Y829" s="326"/>
      <c r="Z829" s="326"/>
      <c r="AA829" s="326"/>
      <c r="AB829" s="326"/>
      <c r="AC829" s="326"/>
      <c r="AD829" s="326"/>
      <c r="AG829" s="326"/>
      <c r="AH829" s="326"/>
      <c r="AI829" s="326"/>
      <c r="AL829" s="326"/>
      <c r="AM829" s="326"/>
      <c r="AN829" s="326"/>
    </row>
    <row r="830" spans="1:40" x14ac:dyDescent="0.15">
      <c r="A830" s="318"/>
      <c r="B830" s="320"/>
      <c r="C830" s="320"/>
      <c r="D830" s="320"/>
      <c r="E830" s="320"/>
      <c r="F830" s="320"/>
      <c r="G830" s="320"/>
      <c r="H830" s="320"/>
      <c r="I830" s="320"/>
      <c r="J830" s="320"/>
      <c r="K830" s="320"/>
      <c r="L830" s="320"/>
      <c r="M830" s="320"/>
      <c r="N830" s="320"/>
      <c r="O830" s="321"/>
      <c r="P830" s="321"/>
      <c r="Y830" s="326"/>
      <c r="Z830" s="326"/>
      <c r="AA830" s="326"/>
      <c r="AB830" s="326"/>
      <c r="AC830" s="326"/>
      <c r="AD830" s="326"/>
      <c r="AG830" s="326"/>
      <c r="AH830" s="326"/>
      <c r="AI830" s="326"/>
      <c r="AL830" s="326"/>
      <c r="AM830" s="326"/>
      <c r="AN830" s="326"/>
    </row>
    <row r="831" spans="1:40" x14ac:dyDescent="0.15">
      <c r="A831" s="318"/>
      <c r="B831" s="320"/>
      <c r="C831" s="320"/>
      <c r="D831" s="320"/>
      <c r="E831" s="320"/>
      <c r="F831" s="320"/>
      <c r="G831" s="320"/>
      <c r="H831" s="320"/>
      <c r="I831" s="320"/>
      <c r="J831" s="320"/>
      <c r="K831" s="320"/>
      <c r="L831" s="320"/>
      <c r="M831" s="320"/>
      <c r="N831" s="320"/>
      <c r="O831" s="321"/>
      <c r="P831" s="321"/>
      <c r="Y831" s="326"/>
      <c r="Z831" s="326"/>
      <c r="AA831" s="326"/>
      <c r="AB831" s="326"/>
      <c r="AC831" s="326"/>
      <c r="AD831" s="326"/>
      <c r="AG831" s="326"/>
      <c r="AH831" s="326"/>
      <c r="AI831" s="326"/>
      <c r="AL831" s="326"/>
      <c r="AM831" s="326"/>
      <c r="AN831" s="326"/>
    </row>
    <row r="832" spans="1:40" x14ac:dyDescent="0.15">
      <c r="A832" s="318"/>
      <c r="B832" s="320"/>
      <c r="C832" s="320"/>
      <c r="D832" s="320"/>
      <c r="E832" s="320"/>
      <c r="F832" s="320"/>
      <c r="G832" s="320"/>
      <c r="H832" s="320"/>
      <c r="I832" s="320"/>
      <c r="J832" s="320"/>
      <c r="K832" s="320"/>
      <c r="L832" s="320"/>
      <c r="M832" s="320"/>
      <c r="N832" s="320"/>
      <c r="O832" s="321"/>
      <c r="P832" s="321"/>
      <c r="Y832" s="326"/>
      <c r="Z832" s="326"/>
      <c r="AA832" s="326"/>
      <c r="AB832" s="326"/>
      <c r="AC832" s="326"/>
      <c r="AD832" s="326"/>
      <c r="AG832" s="326"/>
      <c r="AH832" s="326"/>
      <c r="AI832" s="326"/>
      <c r="AL832" s="326"/>
      <c r="AM832" s="326"/>
      <c r="AN832" s="326"/>
    </row>
    <row r="833" spans="1:40" x14ac:dyDescent="0.15">
      <c r="A833" s="318"/>
      <c r="B833" s="320"/>
      <c r="C833" s="320"/>
      <c r="D833" s="320"/>
      <c r="E833" s="320"/>
      <c r="F833" s="320"/>
      <c r="G833" s="320"/>
      <c r="H833" s="320"/>
      <c r="I833" s="320"/>
      <c r="J833" s="320"/>
      <c r="K833" s="320"/>
      <c r="L833" s="320"/>
      <c r="M833" s="320"/>
      <c r="N833" s="320"/>
      <c r="O833" s="321"/>
      <c r="P833" s="321"/>
      <c r="Y833" s="326"/>
      <c r="Z833" s="326"/>
      <c r="AA833" s="326"/>
      <c r="AB833" s="326"/>
      <c r="AC833" s="326"/>
      <c r="AD833" s="326"/>
      <c r="AG833" s="326"/>
      <c r="AH833" s="326"/>
      <c r="AI833" s="326"/>
      <c r="AL833" s="326"/>
      <c r="AM833" s="326"/>
      <c r="AN833" s="326"/>
    </row>
    <row r="834" spans="1:40" x14ac:dyDescent="0.15">
      <c r="A834" s="318"/>
      <c r="B834" s="320"/>
      <c r="C834" s="320"/>
      <c r="D834" s="320"/>
      <c r="E834" s="320"/>
      <c r="F834" s="320"/>
      <c r="G834" s="320"/>
      <c r="H834" s="320"/>
      <c r="I834" s="320"/>
      <c r="J834" s="320"/>
      <c r="K834" s="320"/>
      <c r="L834" s="320"/>
      <c r="M834" s="320"/>
      <c r="N834" s="320"/>
      <c r="O834" s="321"/>
      <c r="P834" s="321"/>
      <c r="Y834" s="326"/>
      <c r="Z834" s="326"/>
      <c r="AA834" s="326"/>
      <c r="AB834" s="326"/>
      <c r="AC834" s="326"/>
      <c r="AD834" s="326"/>
      <c r="AG834" s="326"/>
      <c r="AH834" s="326"/>
      <c r="AI834" s="326"/>
      <c r="AL834" s="326"/>
      <c r="AM834" s="326"/>
      <c r="AN834" s="326"/>
    </row>
    <row r="835" spans="1:40" x14ac:dyDescent="0.15">
      <c r="A835" s="318"/>
      <c r="B835" s="320"/>
      <c r="C835" s="320"/>
      <c r="D835" s="320"/>
      <c r="E835" s="320"/>
      <c r="F835" s="320"/>
      <c r="G835" s="320"/>
      <c r="H835" s="320"/>
      <c r="I835" s="320"/>
      <c r="J835" s="320"/>
      <c r="K835" s="320"/>
      <c r="L835" s="320"/>
      <c r="M835" s="320"/>
      <c r="N835" s="320"/>
      <c r="O835" s="321"/>
      <c r="P835" s="321"/>
      <c r="Y835" s="326"/>
      <c r="Z835" s="326"/>
      <c r="AA835" s="326"/>
      <c r="AB835" s="326"/>
      <c r="AC835" s="326"/>
      <c r="AD835" s="326"/>
      <c r="AG835" s="326"/>
      <c r="AH835" s="326"/>
      <c r="AI835" s="326"/>
      <c r="AL835" s="326"/>
      <c r="AM835" s="326"/>
      <c r="AN835" s="326"/>
    </row>
    <row r="836" spans="1:40" x14ac:dyDescent="0.15">
      <c r="A836" s="318"/>
      <c r="B836" s="320"/>
      <c r="C836" s="320"/>
      <c r="D836" s="320"/>
      <c r="E836" s="320"/>
      <c r="F836" s="320"/>
      <c r="G836" s="320"/>
      <c r="H836" s="320"/>
      <c r="I836" s="320"/>
      <c r="J836" s="320"/>
      <c r="K836" s="320"/>
      <c r="L836" s="320"/>
      <c r="M836" s="320"/>
      <c r="N836" s="320"/>
      <c r="O836" s="321"/>
      <c r="P836" s="321"/>
      <c r="Y836" s="326"/>
      <c r="Z836" s="326"/>
      <c r="AA836" s="326"/>
      <c r="AB836" s="326"/>
      <c r="AC836" s="326"/>
      <c r="AD836" s="326"/>
      <c r="AG836" s="326"/>
      <c r="AH836" s="326"/>
      <c r="AI836" s="326"/>
      <c r="AL836" s="326"/>
      <c r="AM836" s="326"/>
      <c r="AN836" s="326"/>
    </row>
    <row r="837" spans="1:40" x14ac:dyDescent="0.15">
      <c r="A837" s="318"/>
      <c r="B837" s="320"/>
      <c r="C837" s="320"/>
      <c r="D837" s="320"/>
      <c r="E837" s="320"/>
      <c r="F837" s="320"/>
      <c r="G837" s="320"/>
      <c r="H837" s="320"/>
      <c r="I837" s="320"/>
      <c r="J837" s="320"/>
      <c r="K837" s="320"/>
      <c r="L837" s="320"/>
      <c r="M837" s="320"/>
      <c r="N837" s="320"/>
      <c r="O837" s="321"/>
      <c r="P837" s="321"/>
      <c r="Y837" s="326"/>
      <c r="Z837" s="326"/>
      <c r="AA837" s="326"/>
      <c r="AB837" s="326"/>
      <c r="AC837" s="326"/>
      <c r="AD837" s="326"/>
      <c r="AG837" s="326"/>
      <c r="AH837" s="326"/>
      <c r="AI837" s="326"/>
      <c r="AL837" s="326"/>
      <c r="AM837" s="326"/>
      <c r="AN837" s="326"/>
    </row>
    <row r="838" spans="1:40" x14ac:dyDescent="0.15">
      <c r="A838" s="318"/>
      <c r="B838" s="320"/>
      <c r="C838" s="320"/>
      <c r="D838" s="320"/>
      <c r="E838" s="320"/>
      <c r="F838" s="320"/>
      <c r="G838" s="320"/>
      <c r="H838" s="320"/>
      <c r="I838" s="320"/>
      <c r="J838" s="320"/>
      <c r="K838" s="320"/>
      <c r="L838" s="320"/>
      <c r="M838" s="320"/>
      <c r="N838" s="320"/>
      <c r="O838" s="321"/>
      <c r="P838" s="321"/>
      <c r="Y838" s="326"/>
      <c r="Z838" s="326"/>
      <c r="AA838" s="326"/>
      <c r="AB838" s="326"/>
      <c r="AC838" s="326"/>
      <c r="AD838" s="326"/>
      <c r="AG838" s="326"/>
      <c r="AH838" s="326"/>
      <c r="AI838" s="326"/>
      <c r="AL838" s="326"/>
      <c r="AM838" s="326"/>
      <c r="AN838" s="326"/>
    </row>
    <row r="839" spans="1:40" x14ac:dyDescent="0.15">
      <c r="A839" s="318"/>
      <c r="B839" s="320"/>
      <c r="C839" s="320"/>
      <c r="D839" s="320"/>
      <c r="E839" s="320"/>
      <c r="F839" s="320"/>
      <c r="G839" s="320"/>
      <c r="H839" s="320"/>
      <c r="I839" s="320"/>
      <c r="J839" s="320"/>
      <c r="K839" s="320"/>
      <c r="L839" s="320"/>
      <c r="M839" s="320"/>
      <c r="N839" s="320"/>
      <c r="O839" s="321"/>
      <c r="P839" s="321"/>
      <c r="Y839" s="326"/>
      <c r="Z839" s="326"/>
      <c r="AA839" s="326"/>
      <c r="AB839" s="326"/>
      <c r="AC839" s="326"/>
      <c r="AD839" s="326"/>
      <c r="AG839" s="326"/>
      <c r="AH839" s="326"/>
      <c r="AI839" s="326"/>
      <c r="AL839" s="326"/>
      <c r="AM839" s="326"/>
      <c r="AN839" s="326"/>
    </row>
    <row r="840" spans="1:40" x14ac:dyDescent="0.15">
      <c r="A840" s="318"/>
      <c r="B840" s="320"/>
      <c r="C840" s="320"/>
      <c r="D840" s="320"/>
      <c r="E840" s="320"/>
      <c r="F840" s="320"/>
      <c r="G840" s="320"/>
      <c r="H840" s="320"/>
      <c r="I840" s="320"/>
      <c r="J840" s="320"/>
      <c r="K840" s="320"/>
      <c r="L840" s="320"/>
      <c r="M840" s="320"/>
      <c r="N840" s="320"/>
      <c r="O840" s="321"/>
      <c r="P840" s="321"/>
      <c r="Y840" s="326"/>
      <c r="Z840" s="326"/>
      <c r="AA840" s="326"/>
      <c r="AB840" s="326"/>
      <c r="AC840" s="326"/>
      <c r="AD840" s="326"/>
      <c r="AG840" s="326"/>
      <c r="AH840" s="326"/>
      <c r="AI840" s="326"/>
      <c r="AL840" s="326"/>
      <c r="AM840" s="326"/>
      <c r="AN840" s="326"/>
    </row>
    <row r="841" spans="1:40" x14ac:dyDescent="0.15">
      <c r="A841" s="318"/>
      <c r="B841" s="320"/>
      <c r="C841" s="320"/>
      <c r="D841" s="320"/>
      <c r="E841" s="320"/>
      <c r="F841" s="320"/>
      <c r="G841" s="320"/>
      <c r="H841" s="320"/>
      <c r="I841" s="320"/>
      <c r="J841" s="320"/>
      <c r="K841" s="320"/>
      <c r="L841" s="320"/>
      <c r="M841" s="320"/>
      <c r="N841" s="320"/>
      <c r="O841" s="321"/>
      <c r="P841" s="321"/>
      <c r="Y841" s="326"/>
      <c r="Z841" s="326"/>
      <c r="AA841" s="326"/>
      <c r="AB841" s="326"/>
      <c r="AC841" s="326"/>
      <c r="AD841" s="326"/>
      <c r="AG841" s="326"/>
      <c r="AH841" s="326"/>
      <c r="AI841" s="326"/>
      <c r="AL841" s="326"/>
      <c r="AM841" s="326"/>
      <c r="AN841" s="326"/>
    </row>
    <row r="842" spans="1:40" x14ac:dyDescent="0.15">
      <c r="A842" s="318"/>
      <c r="B842" s="320"/>
      <c r="C842" s="320"/>
      <c r="D842" s="320"/>
      <c r="E842" s="320"/>
      <c r="F842" s="320"/>
      <c r="G842" s="320"/>
      <c r="H842" s="320"/>
      <c r="I842" s="320"/>
      <c r="J842" s="320"/>
      <c r="K842" s="320"/>
      <c r="L842" s="320"/>
      <c r="M842" s="320"/>
      <c r="N842" s="320"/>
      <c r="O842" s="321"/>
      <c r="P842" s="321"/>
      <c r="Y842" s="326"/>
      <c r="Z842" s="326"/>
      <c r="AA842" s="326"/>
      <c r="AB842" s="326"/>
      <c r="AC842" s="326"/>
      <c r="AD842" s="326"/>
      <c r="AG842" s="326"/>
      <c r="AH842" s="326"/>
      <c r="AI842" s="326"/>
      <c r="AL842" s="326"/>
      <c r="AM842" s="326"/>
      <c r="AN842" s="326"/>
    </row>
    <row r="843" spans="1:40" x14ac:dyDescent="0.15">
      <c r="A843" s="318"/>
      <c r="B843" s="320"/>
      <c r="C843" s="320"/>
      <c r="D843" s="320"/>
      <c r="E843" s="320"/>
      <c r="F843" s="320"/>
      <c r="G843" s="320"/>
      <c r="H843" s="320"/>
      <c r="I843" s="320"/>
      <c r="J843" s="320"/>
      <c r="K843" s="320"/>
      <c r="L843" s="320"/>
      <c r="M843" s="320"/>
      <c r="N843" s="320"/>
      <c r="O843" s="321"/>
      <c r="P843" s="321"/>
      <c r="Y843" s="326"/>
      <c r="Z843" s="326"/>
      <c r="AA843" s="326"/>
      <c r="AB843" s="326"/>
      <c r="AC843" s="326"/>
      <c r="AD843" s="326"/>
      <c r="AG843" s="326"/>
      <c r="AH843" s="326"/>
      <c r="AI843" s="326"/>
      <c r="AL843" s="326"/>
      <c r="AM843" s="326"/>
      <c r="AN843" s="326"/>
    </row>
    <row r="844" spans="1:40" x14ac:dyDescent="0.15">
      <c r="A844" s="318"/>
      <c r="B844" s="320"/>
      <c r="C844" s="320"/>
      <c r="D844" s="320"/>
      <c r="E844" s="320"/>
      <c r="F844" s="320"/>
      <c r="G844" s="320"/>
      <c r="H844" s="320"/>
      <c r="I844" s="320"/>
      <c r="J844" s="320"/>
      <c r="K844" s="320"/>
      <c r="L844" s="320"/>
      <c r="M844" s="320"/>
      <c r="N844" s="320"/>
      <c r="O844" s="321"/>
      <c r="P844" s="321"/>
      <c r="Y844" s="326"/>
      <c r="Z844" s="326"/>
      <c r="AA844" s="326"/>
      <c r="AB844" s="326"/>
      <c r="AC844" s="326"/>
      <c r="AD844" s="326"/>
      <c r="AG844" s="326"/>
      <c r="AH844" s="326"/>
      <c r="AI844" s="326"/>
      <c r="AL844" s="326"/>
      <c r="AM844" s="326"/>
      <c r="AN844" s="326"/>
    </row>
    <row r="845" spans="1:40" x14ac:dyDescent="0.15">
      <c r="A845" s="318"/>
      <c r="B845" s="320"/>
      <c r="C845" s="320"/>
      <c r="D845" s="320"/>
      <c r="E845" s="320"/>
      <c r="F845" s="320"/>
      <c r="G845" s="320"/>
      <c r="H845" s="320"/>
      <c r="I845" s="320"/>
      <c r="J845" s="320"/>
      <c r="K845" s="320"/>
      <c r="L845" s="320"/>
      <c r="M845" s="320"/>
      <c r="N845" s="320"/>
      <c r="O845" s="321"/>
      <c r="P845" s="321"/>
      <c r="Y845" s="326"/>
      <c r="Z845" s="326"/>
      <c r="AA845" s="326"/>
      <c r="AB845" s="326"/>
      <c r="AC845" s="326"/>
      <c r="AD845" s="326"/>
      <c r="AG845" s="326"/>
      <c r="AH845" s="326"/>
      <c r="AI845" s="326"/>
      <c r="AL845" s="326"/>
      <c r="AM845" s="326"/>
      <c r="AN845" s="326"/>
    </row>
    <row r="846" spans="1:40" x14ac:dyDescent="0.15">
      <c r="A846" s="318"/>
      <c r="B846" s="320"/>
      <c r="C846" s="320"/>
      <c r="D846" s="320"/>
      <c r="E846" s="320"/>
      <c r="F846" s="320"/>
      <c r="G846" s="320"/>
      <c r="H846" s="320"/>
      <c r="I846" s="320"/>
      <c r="J846" s="320"/>
      <c r="K846" s="320"/>
      <c r="L846" s="320"/>
      <c r="M846" s="320"/>
      <c r="N846" s="320"/>
      <c r="O846" s="321"/>
      <c r="P846" s="321"/>
      <c r="Y846" s="326"/>
      <c r="Z846" s="326"/>
      <c r="AA846" s="326"/>
      <c r="AB846" s="326"/>
      <c r="AC846" s="326"/>
      <c r="AD846" s="326"/>
      <c r="AG846" s="326"/>
      <c r="AH846" s="326"/>
      <c r="AI846" s="326"/>
      <c r="AL846" s="326"/>
      <c r="AM846" s="326"/>
      <c r="AN846" s="326"/>
    </row>
    <row r="847" spans="1:40" x14ac:dyDescent="0.15">
      <c r="A847" s="318"/>
      <c r="B847" s="320"/>
      <c r="C847" s="320"/>
      <c r="D847" s="320"/>
      <c r="E847" s="320"/>
      <c r="F847" s="320"/>
      <c r="G847" s="320"/>
      <c r="H847" s="320"/>
      <c r="I847" s="320"/>
      <c r="J847" s="320"/>
      <c r="K847" s="320"/>
      <c r="L847" s="320"/>
      <c r="M847" s="320"/>
      <c r="N847" s="320"/>
      <c r="O847" s="321"/>
      <c r="P847" s="321"/>
      <c r="Y847" s="326"/>
      <c r="Z847" s="326"/>
      <c r="AA847" s="326"/>
      <c r="AB847" s="326"/>
      <c r="AC847" s="326"/>
      <c r="AD847" s="326"/>
      <c r="AG847" s="326"/>
      <c r="AH847" s="326"/>
      <c r="AI847" s="326"/>
      <c r="AL847" s="326"/>
      <c r="AM847" s="326"/>
      <c r="AN847" s="326"/>
    </row>
    <row r="848" spans="1:40" x14ac:dyDescent="0.15">
      <c r="A848" s="318"/>
      <c r="B848" s="320"/>
      <c r="C848" s="320"/>
      <c r="D848" s="320"/>
      <c r="E848" s="320"/>
      <c r="F848" s="320"/>
      <c r="G848" s="320"/>
      <c r="H848" s="320"/>
      <c r="I848" s="320"/>
      <c r="J848" s="320"/>
      <c r="K848" s="320"/>
      <c r="L848" s="320"/>
      <c r="M848" s="320"/>
      <c r="N848" s="320"/>
      <c r="O848" s="321"/>
      <c r="P848" s="321"/>
      <c r="Y848" s="326"/>
      <c r="Z848" s="326"/>
      <c r="AA848" s="326"/>
      <c r="AB848" s="326"/>
      <c r="AC848" s="326"/>
      <c r="AD848" s="326"/>
      <c r="AG848" s="326"/>
      <c r="AH848" s="326"/>
      <c r="AI848" s="326"/>
      <c r="AL848" s="326"/>
      <c r="AM848" s="326"/>
      <c r="AN848" s="326"/>
    </row>
    <row r="849" spans="1:40" x14ac:dyDescent="0.15">
      <c r="A849" s="318"/>
      <c r="B849" s="320"/>
      <c r="C849" s="320"/>
      <c r="D849" s="320"/>
      <c r="E849" s="320"/>
      <c r="F849" s="320"/>
      <c r="G849" s="320"/>
      <c r="H849" s="320"/>
      <c r="I849" s="320"/>
      <c r="J849" s="320"/>
      <c r="K849" s="320"/>
      <c r="L849" s="320"/>
      <c r="M849" s="320"/>
      <c r="N849" s="320"/>
      <c r="O849" s="321"/>
      <c r="P849" s="321"/>
      <c r="Y849" s="326"/>
      <c r="Z849" s="326"/>
      <c r="AA849" s="326"/>
      <c r="AB849" s="326"/>
      <c r="AC849" s="326"/>
      <c r="AD849" s="326"/>
      <c r="AG849" s="326"/>
      <c r="AH849" s="326"/>
      <c r="AI849" s="326"/>
      <c r="AL849" s="326"/>
      <c r="AM849" s="326"/>
      <c r="AN849" s="326"/>
    </row>
    <row r="850" spans="1:40" x14ac:dyDescent="0.15">
      <c r="A850" s="318"/>
      <c r="B850" s="320"/>
      <c r="C850" s="320"/>
      <c r="D850" s="320"/>
      <c r="E850" s="320"/>
      <c r="F850" s="320"/>
      <c r="G850" s="320"/>
      <c r="H850" s="320"/>
      <c r="I850" s="320"/>
      <c r="J850" s="320"/>
      <c r="K850" s="320"/>
      <c r="L850" s="320"/>
      <c r="M850" s="320"/>
      <c r="N850" s="320"/>
      <c r="O850" s="321"/>
      <c r="P850" s="321"/>
      <c r="Y850" s="326"/>
      <c r="Z850" s="326"/>
      <c r="AA850" s="326"/>
      <c r="AB850" s="326"/>
      <c r="AC850" s="326"/>
      <c r="AD850" s="326"/>
      <c r="AG850" s="326"/>
      <c r="AH850" s="326"/>
      <c r="AI850" s="326"/>
      <c r="AL850" s="326"/>
      <c r="AM850" s="326"/>
      <c r="AN850" s="326"/>
    </row>
    <row r="851" spans="1:40" x14ac:dyDescent="0.15">
      <c r="A851" s="318"/>
      <c r="B851" s="320"/>
      <c r="C851" s="320"/>
      <c r="D851" s="320"/>
      <c r="E851" s="320"/>
      <c r="F851" s="320"/>
      <c r="G851" s="320"/>
      <c r="H851" s="320"/>
      <c r="I851" s="320"/>
      <c r="J851" s="320"/>
      <c r="K851" s="320"/>
      <c r="L851" s="320"/>
      <c r="M851" s="320"/>
      <c r="N851" s="320"/>
      <c r="O851" s="321"/>
      <c r="P851" s="321"/>
      <c r="Y851" s="326"/>
      <c r="Z851" s="326"/>
      <c r="AA851" s="326"/>
      <c r="AB851" s="326"/>
      <c r="AC851" s="326"/>
      <c r="AD851" s="326"/>
      <c r="AG851" s="326"/>
      <c r="AH851" s="326"/>
      <c r="AI851" s="326"/>
      <c r="AL851" s="326"/>
      <c r="AM851" s="326"/>
      <c r="AN851" s="326"/>
    </row>
    <row r="852" spans="1:40" x14ac:dyDescent="0.15">
      <c r="A852" s="318"/>
      <c r="B852" s="320"/>
      <c r="C852" s="320"/>
      <c r="D852" s="320"/>
      <c r="E852" s="320"/>
      <c r="F852" s="320"/>
      <c r="G852" s="320"/>
      <c r="H852" s="320"/>
      <c r="I852" s="320"/>
      <c r="J852" s="320"/>
      <c r="K852" s="320"/>
      <c r="L852" s="320"/>
      <c r="M852" s="320"/>
      <c r="N852" s="320"/>
      <c r="O852" s="321"/>
      <c r="P852" s="321"/>
      <c r="Y852" s="326"/>
      <c r="Z852" s="326"/>
      <c r="AA852" s="326"/>
      <c r="AB852" s="326"/>
      <c r="AC852" s="326"/>
      <c r="AD852" s="326"/>
      <c r="AG852" s="326"/>
      <c r="AH852" s="326"/>
      <c r="AI852" s="326"/>
      <c r="AL852" s="326"/>
      <c r="AM852" s="326"/>
      <c r="AN852" s="326"/>
    </row>
    <row r="853" spans="1:40" x14ac:dyDescent="0.15">
      <c r="A853" s="318"/>
      <c r="B853" s="320"/>
      <c r="C853" s="320"/>
      <c r="D853" s="320"/>
      <c r="E853" s="320"/>
      <c r="F853" s="320"/>
      <c r="G853" s="320"/>
      <c r="H853" s="320"/>
      <c r="I853" s="320"/>
      <c r="J853" s="320"/>
      <c r="K853" s="320"/>
      <c r="L853" s="320"/>
      <c r="M853" s="320"/>
      <c r="N853" s="320"/>
      <c r="O853" s="321"/>
      <c r="P853" s="321"/>
      <c r="Y853" s="326"/>
      <c r="Z853" s="326"/>
      <c r="AA853" s="326"/>
      <c r="AB853" s="326"/>
      <c r="AC853" s="326"/>
      <c r="AD853" s="326"/>
      <c r="AG853" s="326"/>
      <c r="AH853" s="326"/>
      <c r="AI853" s="326"/>
      <c r="AL853" s="326"/>
      <c r="AM853" s="326"/>
      <c r="AN853" s="326"/>
    </row>
    <row r="854" spans="1:40" x14ac:dyDescent="0.15">
      <c r="A854" s="318"/>
      <c r="B854" s="320"/>
      <c r="C854" s="320"/>
      <c r="D854" s="320"/>
      <c r="E854" s="320"/>
      <c r="F854" s="320"/>
      <c r="G854" s="320"/>
      <c r="H854" s="320"/>
      <c r="I854" s="320"/>
      <c r="J854" s="320"/>
      <c r="K854" s="320"/>
      <c r="L854" s="320"/>
      <c r="M854" s="320"/>
      <c r="N854" s="320"/>
      <c r="O854" s="321"/>
      <c r="P854" s="321"/>
      <c r="Y854" s="326"/>
      <c r="Z854" s="326"/>
      <c r="AA854" s="326"/>
      <c r="AB854" s="326"/>
      <c r="AC854" s="326"/>
      <c r="AD854" s="326"/>
      <c r="AG854" s="326"/>
      <c r="AH854" s="326"/>
      <c r="AI854" s="326"/>
      <c r="AL854" s="326"/>
      <c r="AM854" s="326"/>
      <c r="AN854" s="326"/>
    </row>
    <row r="855" spans="1:40" x14ac:dyDescent="0.15">
      <c r="A855" s="318"/>
      <c r="B855" s="320"/>
      <c r="C855" s="320"/>
      <c r="D855" s="320"/>
      <c r="E855" s="320"/>
      <c r="F855" s="320"/>
      <c r="G855" s="320"/>
      <c r="H855" s="320"/>
      <c r="I855" s="320"/>
      <c r="J855" s="320"/>
      <c r="K855" s="320"/>
      <c r="L855" s="320"/>
      <c r="M855" s="320"/>
      <c r="N855" s="320"/>
      <c r="O855" s="321"/>
      <c r="P855" s="321"/>
      <c r="Y855" s="326"/>
      <c r="Z855" s="326"/>
      <c r="AA855" s="326"/>
      <c r="AB855" s="326"/>
      <c r="AC855" s="326"/>
      <c r="AD855" s="326"/>
      <c r="AG855" s="326"/>
      <c r="AH855" s="326"/>
      <c r="AI855" s="326"/>
      <c r="AL855" s="326"/>
      <c r="AM855" s="326"/>
      <c r="AN855" s="326"/>
    </row>
    <row r="856" spans="1:40" x14ac:dyDescent="0.15">
      <c r="A856" s="318"/>
      <c r="B856" s="320"/>
      <c r="C856" s="320"/>
      <c r="D856" s="320"/>
      <c r="E856" s="320"/>
      <c r="F856" s="320"/>
      <c r="G856" s="320"/>
      <c r="H856" s="320"/>
      <c r="I856" s="320"/>
      <c r="J856" s="320"/>
      <c r="K856" s="320"/>
      <c r="L856" s="320"/>
      <c r="M856" s="320"/>
      <c r="N856" s="320"/>
      <c r="O856" s="321"/>
      <c r="P856" s="321"/>
      <c r="Y856" s="326"/>
      <c r="Z856" s="326"/>
      <c r="AA856" s="326"/>
      <c r="AB856" s="326"/>
      <c r="AC856" s="326"/>
      <c r="AD856" s="326"/>
      <c r="AG856" s="326"/>
      <c r="AH856" s="326"/>
      <c r="AI856" s="326"/>
      <c r="AL856" s="326"/>
      <c r="AM856" s="326"/>
      <c r="AN856" s="326"/>
    </row>
    <row r="857" spans="1:40" x14ac:dyDescent="0.15">
      <c r="A857" s="318"/>
      <c r="B857" s="320"/>
      <c r="C857" s="320"/>
      <c r="D857" s="320"/>
      <c r="E857" s="320"/>
      <c r="F857" s="320"/>
      <c r="G857" s="320"/>
      <c r="H857" s="320"/>
      <c r="I857" s="320"/>
      <c r="J857" s="320"/>
      <c r="K857" s="320"/>
      <c r="L857" s="320"/>
      <c r="M857" s="320"/>
      <c r="N857" s="320"/>
      <c r="O857" s="321"/>
      <c r="P857" s="321"/>
      <c r="Y857" s="326"/>
      <c r="Z857" s="326"/>
      <c r="AA857" s="326"/>
      <c r="AB857" s="326"/>
      <c r="AC857" s="326"/>
      <c r="AD857" s="326"/>
      <c r="AG857" s="326"/>
      <c r="AH857" s="326"/>
      <c r="AI857" s="326"/>
      <c r="AL857" s="326"/>
      <c r="AM857" s="326"/>
      <c r="AN857" s="326"/>
    </row>
    <row r="858" spans="1:40" x14ac:dyDescent="0.15">
      <c r="A858" s="318"/>
      <c r="B858" s="320"/>
      <c r="C858" s="320"/>
      <c r="D858" s="320"/>
      <c r="E858" s="320"/>
      <c r="F858" s="320"/>
      <c r="G858" s="320"/>
      <c r="H858" s="320"/>
      <c r="I858" s="320"/>
      <c r="J858" s="320"/>
      <c r="K858" s="320"/>
      <c r="L858" s="320"/>
      <c r="M858" s="320"/>
      <c r="N858" s="320"/>
      <c r="O858" s="321"/>
      <c r="P858" s="321"/>
      <c r="Y858" s="326"/>
      <c r="Z858" s="326"/>
      <c r="AA858" s="326"/>
      <c r="AB858" s="326"/>
      <c r="AC858" s="326"/>
      <c r="AD858" s="326"/>
      <c r="AG858" s="326"/>
      <c r="AH858" s="326"/>
      <c r="AI858" s="326"/>
      <c r="AL858" s="326"/>
      <c r="AM858" s="326"/>
      <c r="AN858" s="326"/>
    </row>
    <row r="859" spans="1:40" x14ac:dyDescent="0.15">
      <c r="A859" s="318"/>
      <c r="B859" s="320"/>
      <c r="C859" s="320"/>
      <c r="D859" s="320"/>
      <c r="E859" s="320"/>
      <c r="F859" s="320"/>
      <c r="G859" s="320"/>
      <c r="H859" s="320"/>
      <c r="I859" s="320"/>
      <c r="J859" s="320"/>
      <c r="K859" s="320"/>
      <c r="L859" s="320"/>
      <c r="M859" s="320"/>
      <c r="N859" s="320"/>
      <c r="O859" s="321"/>
      <c r="P859" s="321"/>
      <c r="Y859" s="326"/>
      <c r="Z859" s="326"/>
      <c r="AA859" s="326"/>
      <c r="AB859" s="326"/>
      <c r="AC859" s="326"/>
      <c r="AD859" s="326"/>
      <c r="AG859" s="326"/>
      <c r="AH859" s="326"/>
      <c r="AI859" s="326"/>
      <c r="AL859" s="326"/>
      <c r="AM859" s="326"/>
      <c r="AN859" s="326"/>
    </row>
    <row r="860" spans="1:40" x14ac:dyDescent="0.15">
      <c r="A860" s="318"/>
      <c r="B860" s="320"/>
      <c r="C860" s="320"/>
      <c r="D860" s="320"/>
      <c r="E860" s="320"/>
      <c r="F860" s="320"/>
      <c r="G860" s="320"/>
      <c r="H860" s="320"/>
      <c r="I860" s="320"/>
      <c r="J860" s="320"/>
      <c r="K860" s="320"/>
      <c r="L860" s="320"/>
      <c r="M860" s="320"/>
      <c r="N860" s="320"/>
      <c r="O860" s="321"/>
      <c r="P860" s="321"/>
      <c r="Y860" s="326"/>
      <c r="Z860" s="326"/>
      <c r="AA860" s="326"/>
      <c r="AB860" s="326"/>
      <c r="AC860" s="326"/>
      <c r="AD860" s="326"/>
      <c r="AG860" s="326"/>
      <c r="AH860" s="326"/>
      <c r="AI860" s="326"/>
      <c r="AL860" s="326"/>
      <c r="AM860" s="326"/>
      <c r="AN860" s="326"/>
    </row>
    <row r="861" spans="1:40" x14ac:dyDescent="0.15">
      <c r="A861" s="318"/>
      <c r="B861" s="320"/>
      <c r="C861" s="320"/>
      <c r="D861" s="320"/>
      <c r="E861" s="320"/>
      <c r="F861" s="320"/>
      <c r="G861" s="320"/>
      <c r="H861" s="320"/>
      <c r="I861" s="320"/>
      <c r="J861" s="320"/>
      <c r="K861" s="320"/>
      <c r="L861" s="320"/>
      <c r="M861" s="320"/>
      <c r="N861" s="320"/>
      <c r="O861" s="321"/>
      <c r="P861" s="321"/>
      <c r="Y861" s="326"/>
      <c r="Z861" s="326"/>
      <c r="AA861" s="326"/>
      <c r="AB861" s="326"/>
      <c r="AC861" s="326"/>
      <c r="AD861" s="326"/>
      <c r="AG861" s="326"/>
      <c r="AH861" s="326"/>
      <c r="AI861" s="326"/>
      <c r="AL861" s="326"/>
      <c r="AM861" s="326"/>
      <c r="AN861" s="326"/>
    </row>
    <row r="862" spans="1:40" x14ac:dyDescent="0.15">
      <c r="A862" s="318"/>
      <c r="B862" s="320"/>
      <c r="C862" s="320"/>
      <c r="D862" s="320"/>
      <c r="E862" s="320"/>
      <c r="F862" s="320"/>
      <c r="G862" s="320"/>
      <c r="H862" s="320"/>
      <c r="I862" s="320"/>
      <c r="J862" s="320"/>
      <c r="K862" s="320"/>
      <c r="L862" s="320"/>
      <c r="M862" s="320"/>
      <c r="N862" s="320"/>
      <c r="O862" s="321"/>
      <c r="P862" s="321"/>
      <c r="Y862" s="326"/>
      <c r="Z862" s="326"/>
      <c r="AA862" s="326"/>
      <c r="AB862" s="326"/>
      <c r="AC862" s="326"/>
      <c r="AD862" s="326"/>
      <c r="AG862" s="326"/>
      <c r="AH862" s="326"/>
      <c r="AI862" s="326"/>
      <c r="AL862" s="326"/>
      <c r="AM862" s="326"/>
      <c r="AN862" s="326"/>
    </row>
    <row r="863" spans="1:40" x14ac:dyDescent="0.15">
      <c r="A863" s="318"/>
      <c r="B863" s="320"/>
      <c r="C863" s="320"/>
      <c r="D863" s="320"/>
      <c r="E863" s="320"/>
      <c r="F863" s="320"/>
      <c r="G863" s="320"/>
      <c r="H863" s="320"/>
      <c r="I863" s="320"/>
      <c r="J863" s="320"/>
      <c r="K863" s="320"/>
      <c r="L863" s="320"/>
      <c r="M863" s="320"/>
      <c r="N863" s="320"/>
      <c r="O863" s="321"/>
      <c r="P863" s="321"/>
      <c r="Y863" s="326"/>
      <c r="Z863" s="326"/>
      <c r="AA863" s="326"/>
      <c r="AB863" s="326"/>
      <c r="AC863" s="326"/>
      <c r="AD863" s="326"/>
      <c r="AG863" s="326"/>
      <c r="AH863" s="326"/>
      <c r="AI863" s="326"/>
      <c r="AL863" s="326"/>
      <c r="AM863" s="326"/>
      <c r="AN863" s="326"/>
    </row>
    <row r="864" spans="1:40" x14ac:dyDescent="0.15">
      <c r="A864" s="318"/>
      <c r="B864" s="320"/>
      <c r="C864" s="320"/>
      <c r="D864" s="320"/>
      <c r="E864" s="320"/>
      <c r="F864" s="320"/>
      <c r="G864" s="320"/>
      <c r="H864" s="320"/>
      <c r="I864" s="320"/>
      <c r="J864" s="320"/>
      <c r="K864" s="320"/>
      <c r="L864" s="320"/>
      <c r="M864" s="320"/>
      <c r="N864" s="320"/>
      <c r="O864" s="321"/>
      <c r="P864" s="321"/>
      <c r="Y864" s="326"/>
      <c r="Z864" s="326"/>
      <c r="AA864" s="326"/>
      <c r="AB864" s="326"/>
      <c r="AC864" s="326"/>
      <c r="AD864" s="326"/>
      <c r="AG864" s="326"/>
      <c r="AH864" s="326"/>
      <c r="AI864" s="326"/>
      <c r="AL864" s="326"/>
      <c r="AM864" s="326"/>
      <c r="AN864" s="326"/>
    </row>
    <row r="865" spans="1:40" x14ac:dyDescent="0.15">
      <c r="A865" s="318"/>
      <c r="B865" s="320"/>
      <c r="C865" s="320"/>
      <c r="D865" s="320"/>
      <c r="E865" s="320"/>
      <c r="F865" s="320"/>
      <c r="G865" s="320"/>
      <c r="H865" s="320"/>
      <c r="I865" s="320"/>
      <c r="J865" s="320"/>
      <c r="K865" s="320"/>
      <c r="L865" s="320"/>
      <c r="M865" s="320"/>
      <c r="N865" s="320"/>
      <c r="O865" s="321"/>
      <c r="P865" s="321"/>
      <c r="Y865" s="326"/>
      <c r="Z865" s="326"/>
      <c r="AA865" s="326"/>
      <c r="AB865" s="326"/>
      <c r="AC865" s="326"/>
      <c r="AD865" s="326"/>
      <c r="AG865" s="326"/>
      <c r="AH865" s="326"/>
      <c r="AI865" s="326"/>
      <c r="AL865" s="326"/>
      <c r="AM865" s="326"/>
      <c r="AN865" s="326"/>
    </row>
    <row r="866" spans="1:40" x14ac:dyDescent="0.15">
      <c r="A866" s="318"/>
      <c r="B866" s="320"/>
      <c r="C866" s="320"/>
      <c r="D866" s="320"/>
      <c r="E866" s="320"/>
      <c r="F866" s="320"/>
      <c r="G866" s="320"/>
      <c r="H866" s="320"/>
      <c r="I866" s="320"/>
      <c r="J866" s="320"/>
      <c r="K866" s="320"/>
      <c r="L866" s="320"/>
      <c r="M866" s="320"/>
      <c r="N866" s="320"/>
      <c r="O866" s="321"/>
      <c r="P866" s="321"/>
      <c r="Y866" s="326"/>
      <c r="Z866" s="326"/>
      <c r="AA866" s="326"/>
      <c r="AB866" s="326"/>
      <c r="AC866" s="326"/>
      <c r="AD866" s="326"/>
      <c r="AG866" s="326"/>
      <c r="AH866" s="326"/>
      <c r="AI866" s="326"/>
      <c r="AL866" s="326"/>
      <c r="AM866" s="326"/>
      <c r="AN866" s="326"/>
    </row>
    <row r="867" spans="1:40" x14ac:dyDescent="0.15">
      <c r="A867" s="318"/>
      <c r="B867" s="320"/>
      <c r="C867" s="320"/>
      <c r="D867" s="320"/>
      <c r="E867" s="320"/>
      <c r="F867" s="320"/>
      <c r="G867" s="320"/>
      <c r="H867" s="320"/>
      <c r="I867" s="320"/>
      <c r="J867" s="320"/>
      <c r="K867" s="320"/>
      <c r="L867" s="320"/>
      <c r="M867" s="320"/>
      <c r="N867" s="320"/>
      <c r="O867" s="321"/>
      <c r="P867" s="321"/>
      <c r="Y867" s="326"/>
      <c r="Z867" s="326"/>
      <c r="AA867" s="326"/>
      <c r="AB867" s="326"/>
      <c r="AC867" s="326"/>
      <c r="AD867" s="326"/>
      <c r="AG867" s="326"/>
      <c r="AH867" s="326"/>
      <c r="AI867" s="326"/>
      <c r="AL867" s="326"/>
      <c r="AM867" s="326"/>
      <c r="AN867" s="326"/>
    </row>
    <row r="868" spans="1:40" x14ac:dyDescent="0.15">
      <c r="A868" s="318"/>
      <c r="B868" s="320"/>
      <c r="C868" s="320"/>
      <c r="D868" s="320"/>
      <c r="E868" s="320"/>
      <c r="F868" s="320"/>
      <c r="G868" s="320"/>
      <c r="H868" s="320"/>
      <c r="I868" s="320"/>
      <c r="J868" s="320"/>
      <c r="K868" s="320"/>
      <c r="L868" s="320"/>
      <c r="M868" s="320"/>
      <c r="N868" s="320"/>
      <c r="O868" s="321"/>
      <c r="P868" s="321"/>
      <c r="Y868" s="326"/>
      <c r="Z868" s="326"/>
      <c r="AA868" s="326"/>
      <c r="AB868" s="326"/>
      <c r="AC868" s="326"/>
      <c r="AD868" s="326"/>
      <c r="AG868" s="326"/>
      <c r="AH868" s="326"/>
      <c r="AI868" s="326"/>
      <c r="AL868" s="326"/>
      <c r="AM868" s="326"/>
      <c r="AN868" s="326"/>
    </row>
    <row r="869" spans="1:40" x14ac:dyDescent="0.15">
      <c r="A869" s="318"/>
      <c r="B869" s="320"/>
      <c r="C869" s="320"/>
      <c r="D869" s="320"/>
      <c r="E869" s="320"/>
      <c r="F869" s="320"/>
      <c r="G869" s="320"/>
      <c r="H869" s="320"/>
      <c r="I869" s="320"/>
      <c r="J869" s="320"/>
      <c r="K869" s="320"/>
      <c r="L869" s="320"/>
      <c r="M869" s="320"/>
      <c r="N869" s="320"/>
      <c r="O869" s="321"/>
      <c r="P869" s="321"/>
      <c r="Y869" s="326"/>
      <c r="Z869" s="326"/>
      <c r="AA869" s="326"/>
      <c r="AB869" s="326"/>
      <c r="AC869" s="326"/>
      <c r="AD869" s="326"/>
      <c r="AG869" s="326"/>
      <c r="AH869" s="326"/>
      <c r="AI869" s="326"/>
      <c r="AL869" s="326"/>
      <c r="AM869" s="326"/>
      <c r="AN869" s="326"/>
    </row>
    <row r="870" spans="1:40" x14ac:dyDescent="0.15">
      <c r="A870" s="318"/>
      <c r="B870" s="320"/>
      <c r="C870" s="320"/>
      <c r="D870" s="320"/>
      <c r="E870" s="320"/>
      <c r="F870" s="320"/>
      <c r="G870" s="320"/>
      <c r="H870" s="320"/>
      <c r="I870" s="320"/>
      <c r="J870" s="320"/>
      <c r="K870" s="320"/>
      <c r="L870" s="320"/>
      <c r="M870" s="320"/>
      <c r="N870" s="320"/>
      <c r="O870" s="321"/>
      <c r="P870" s="321"/>
      <c r="Y870" s="326"/>
      <c r="Z870" s="326"/>
      <c r="AA870" s="326"/>
      <c r="AB870" s="326"/>
      <c r="AC870" s="326"/>
      <c r="AD870" s="326"/>
      <c r="AG870" s="326"/>
      <c r="AH870" s="326"/>
      <c r="AI870" s="326"/>
      <c r="AL870" s="326"/>
      <c r="AM870" s="326"/>
      <c r="AN870" s="326"/>
    </row>
    <row r="871" spans="1:40" x14ac:dyDescent="0.15">
      <c r="A871" s="318"/>
      <c r="B871" s="320"/>
      <c r="C871" s="320"/>
      <c r="D871" s="320"/>
      <c r="E871" s="320"/>
      <c r="F871" s="320"/>
      <c r="G871" s="320"/>
      <c r="H871" s="320"/>
      <c r="I871" s="320"/>
      <c r="J871" s="320"/>
      <c r="K871" s="320"/>
      <c r="L871" s="320"/>
      <c r="M871" s="320"/>
      <c r="N871" s="320"/>
      <c r="O871" s="321"/>
      <c r="P871" s="321"/>
      <c r="Y871" s="326"/>
      <c r="Z871" s="326"/>
      <c r="AA871" s="326"/>
      <c r="AB871" s="326"/>
      <c r="AC871" s="326"/>
      <c r="AD871" s="326"/>
      <c r="AG871" s="326"/>
      <c r="AH871" s="326"/>
      <c r="AI871" s="326"/>
      <c r="AL871" s="326"/>
      <c r="AM871" s="326"/>
      <c r="AN871" s="326"/>
    </row>
    <row r="872" spans="1:40" x14ac:dyDescent="0.15">
      <c r="A872" s="318"/>
      <c r="B872" s="320"/>
      <c r="C872" s="320"/>
      <c r="D872" s="320"/>
      <c r="E872" s="320"/>
      <c r="F872" s="320"/>
      <c r="G872" s="320"/>
      <c r="H872" s="320"/>
      <c r="I872" s="320"/>
      <c r="J872" s="320"/>
      <c r="K872" s="320"/>
      <c r="L872" s="320"/>
      <c r="M872" s="320"/>
      <c r="N872" s="320"/>
      <c r="O872" s="321"/>
      <c r="P872" s="321"/>
      <c r="Y872" s="326"/>
      <c r="Z872" s="326"/>
      <c r="AA872" s="326"/>
      <c r="AB872" s="326"/>
      <c r="AC872" s="326"/>
      <c r="AD872" s="326"/>
      <c r="AG872" s="326"/>
      <c r="AH872" s="326"/>
      <c r="AI872" s="326"/>
      <c r="AL872" s="326"/>
      <c r="AM872" s="326"/>
      <c r="AN872" s="326"/>
    </row>
    <row r="873" spans="1:40" x14ac:dyDescent="0.15">
      <c r="A873" s="318"/>
      <c r="B873" s="320"/>
      <c r="C873" s="320"/>
      <c r="D873" s="320"/>
      <c r="E873" s="320"/>
      <c r="F873" s="320"/>
      <c r="G873" s="320"/>
      <c r="H873" s="320"/>
      <c r="I873" s="320"/>
      <c r="J873" s="320"/>
      <c r="K873" s="320"/>
      <c r="L873" s="320"/>
      <c r="M873" s="320"/>
      <c r="N873" s="320"/>
      <c r="O873" s="321"/>
      <c r="P873" s="321"/>
      <c r="Y873" s="326"/>
      <c r="Z873" s="326"/>
      <c r="AA873" s="326"/>
      <c r="AB873" s="326"/>
      <c r="AC873" s="326"/>
      <c r="AD873" s="326"/>
      <c r="AG873" s="326"/>
      <c r="AH873" s="326"/>
      <c r="AI873" s="326"/>
      <c r="AL873" s="326"/>
      <c r="AM873" s="326"/>
      <c r="AN873" s="326"/>
    </row>
    <row r="874" spans="1:40" x14ac:dyDescent="0.15">
      <c r="A874" s="318"/>
      <c r="B874" s="320"/>
      <c r="C874" s="320"/>
      <c r="D874" s="320"/>
      <c r="E874" s="320"/>
      <c r="F874" s="320"/>
      <c r="G874" s="320"/>
      <c r="H874" s="320"/>
      <c r="I874" s="320"/>
      <c r="J874" s="320"/>
      <c r="K874" s="320"/>
      <c r="L874" s="320"/>
      <c r="M874" s="320"/>
      <c r="N874" s="320"/>
      <c r="O874" s="321"/>
      <c r="P874" s="321"/>
      <c r="Y874" s="326"/>
      <c r="Z874" s="326"/>
      <c r="AA874" s="326"/>
      <c r="AB874" s="326"/>
      <c r="AC874" s="326"/>
      <c r="AD874" s="326"/>
      <c r="AG874" s="326"/>
      <c r="AH874" s="326"/>
      <c r="AI874" s="326"/>
      <c r="AL874" s="326"/>
      <c r="AM874" s="326"/>
      <c r="AN874" s="326"/>
    </row>
    <row r="875" spans="1:40" x14ac:dyDescent="0.15">
      <c r="A875" s="318"/>
      <c r="B875" s="320"/>
      <c r="C875" s="320"/>
      <c r="D875" s="320"/>
      <c r="E875" s="320"/>
      <c r="F875" s="320"/>
      <c r="G875" s="320"/>
      <c r="H875" s="320"/>
      <c r="I875" s="320"/>
      <c r="J875" s="320"/>
      <c r="K875" s="320"/>
      <c r="L875" s="320"/>
      <c r="M875" s="320"/>
      <c r="N875" s="320"/>
      <c r="O875" s="321"/>
      <c r="P875" s="321"/>
      <c r="Y875" s="326"/>
      <c r="Z875" s="326"/>
      <c r="AA875" s="326"/>
      <c r="AB875" s="326"/>
      <c r="AC875" s="326"/>
      <c r="AD875" s="326"/>
      <c r="AG875" s="326"/>
      <c r="AH875" s="326"/>
      <c r="AI875" s="326"/>
      <c r="AL875" s="326"/>
      <c r="AM875" s="326"/>
      <c r="AN875" s="326"/>
    </row>
    <row r="876" spans="1:40" x14ac:dyDescent="0.15">
      <c r="A876" s="318"/>
      <c r="B876" s="320"/>
      <c r="C876" s="320"/>
      <c r="D876" s="320"/>
      <c r="E876" s="320"/>
      <c r="F876" s="320"/>
      <c r="G876" s="320"/>
      <c r="H876" s="320"/>
      <c r="I876" s="320"/>
      <c r="J876" s="320"/>
      <c r="K876" s="320"/>
      <c r="L876" s="320"/>
      <c r="M876" s="320"/>
      <c r="N876" s="320"/>
      <c r="O876" s="321"/>
      <c r="P876" s="321"/>
      <c r="Y876" s="326"/>
      <c r="Z876" s="326"/>
      <c r="AA876" s="326"/>
      <c r="AB876" s="326"/>
      <c r="AC876" s="326"/>
      <c r="AD876" s="326"/>
      <c r="AG876" s="326"/>
      <c r="AH876" s="326"/>
      <c r="AI876" s="326"/>
      <c r="AL876" s="326"/>
      <c r="AM876" s="326"/>
      <c r="AN876" s="326"/>
    </row>
    <row r="877" spans="1:40" x14ac:dyDescent="0.15">
      <c r="A877" s="318"/>
      <c r="B877" s="320"/>
      <c r="C877" s="320"/>
      <c r="D877" s="320"/>
      <c r="E877" s="320"/>
      <c r="F877" s="320"/>
      <c r="G877" s="320"/>
      <c r="H877" s="320"/>
      <c r="I877" s="320"/>
      <c r="J877" s="320"/>
      <c r="K877" s="320"/>
      <c r="L877" s="320"/>
      <c r="M877" s="320"/>
      <c r="N877" s="320"/>
      <c r="O877" s="321"/>
      <c r="P877" s="321"/>
      <c r="Y877" s="326"/>
      <c r="Z877" s="326"/>
      <c r="AA877" s="326"/>
      <c r="AB877" s="326"/>
      <c r="AC877" s="326"/>
      <c r="AD877" s="326"/>
      <c r="AG877" s="326"/>
      <c r="AH877" s="326"/>
      <c r="AI877" s="326"/>
      <c r="AL877" s="326"/>
      <c r="AM877" s="326"/>
      <c r="AN877" s="326"/>
    </row>
    <row r="878" spans="1:40" x14ac:dyDescent="0.15">
      <c r="A878" s="318"/>
      <c r="B878" s="320"/>
      <c r="C878" s="320"/>
      <c r="D878" s="320"/>
      <c r="E878" s="320"/>
      <c r="F878" s="320"/>
      <c r="G878" s="320"/>
      <c r="H878" s="320"/>
      <c r="I878" s="320"/>
      <c r="J878" s="320"/>
      <c r="K878" s="320"/>
      <c r="L878" s="320"/>
      <c r="M878" s="320"/>
      <c r="N878" s="320"/>
      <c r="O878" s="321"/>
      <c r="P878" s="321"/>
      <c r="Y878" s="326"/>
      <c r="Z878" s="326"/>
      <c r="AA878" s="326"/>
      <c r="AB878" s="326"/>
      <c r="AC878" s="326"/>
      <c r="AD878" s="326"/>
      <c r="AG878" s="326"/>
      <c r="AH878" s="326"/>
      <c r="AI878" s="326"/>
      <c r="AL878" s="326"/>
      <c r="AM878" s="326"/>
      <c r="AN878" s="326"/>
    </row>
    <row r="879" spans="1:40" x14ac:dyDescent="0.15">
      <c r="A879" s="318"/>
      <c r="B879" s="320"/>
      <c r="C879" s="320"/>
      <c r="D879" s="320"/>
      <c r="E879" s="320"/>
      <c r="F879" s="320"/>
      <c r="G879" s="320"/>
      <c r="H879" s="320"/>
      <c r="I879" s="320"/>
      <c r="J879" s="320"/>
      <c r="K879" s="320"/>
      <c r="L879" s="320"/>
      <c r="M879" s="320"/>
      <c r="N879" s="320"/>
      <c r="O879" s="321"/>
      <c r="P879" s="321"/>
      <c r="Y879" s="326"/>
      <c r="Z879" s="326"/>
      <c r="AA879" s="326"/>
      <c r="AB879" s="326"/>
      <c r="AC879" s="326"/>
      <c r="AD879" s="326"/>
      <c r="AG879" s="326"/>
      <c r="AH879" s="326"/>
      <c r="AI879" s="326"/>
      <c r="AL879" s="326"/>
      <c r="AM879" s="326"/>
      <c r="AN879" s="326"/>
    </row>
    <row r="880" spans="1:40" x14ac:dyDescent="0.15">
      <c r="A880" s="318"/>
      <c r="B880" s="320"/>
      <c r="C880" s="320"/>
      <c r="D880" s="320"/>
      <c r="E880" s="320"/>
      <c r="F880" s="320"/>
      <c r="G880" s="320"/>
      <c r="H880" s="320"/>
      <c r="I880" s="320"/>
      <c r="J880" s="320"/>
      <c r="K880" s="320"/>
      <c r="L880" s="320"/>
      <c r="M880" s="320"/>
      <c r="N880" s="320"/>
      <c r="O880" s="321"/>
      <c r="P880" s="321"/>
      <c r="Y880" s="326"/>
      <c r="Z880" s="326"/>
      <c r="AA880" s="326"/>
      <c r="AB880" s="326"/>
      <c r="AC880" s="326"/>
      <c r="AD880" s="326"/>
      <c r="AG880" s="326"/>
      <c r="AH880" s="326"/>
      <c r="AI880" s="326"/>
      <c r="AL880" s="326"/>
      <c r="AM880" s="326"/>
      <c r="AN880" s="326"/>
    </row>
    <row r="881" spans="1:40" x14ac:dyDescent="0.15">
      <c r="A881" s="318"/>
      <c r="B881" s="320"/>
      <c r="C881" s="320"/>
      <c r="D881" s="320"/>
      <c r="E881" s="320"/>
      <c r="F881" s="320"/>
      <c r="G881" s="320"/>
      <c r="H881" s="320"/>
      <c r="I881" s="320"/>
      <c r="J881" s="320"/>
      <c r="K881" s="320"/>
      <c r="L881" s="320"/>
      <c r="M881" s="320"/>
      <c r="N881" s="320"/>
      <c r="O881" s="321"/>
      <c r="P881" s="321"/>
      <c r="Y881" s="326"/>
      <c r="Z881" s="326"/>
      <c r="AA881" s="326"/>
      <c r="AB881" s="326"/>
      <c r="AC881" s="326"/>
      <c r="AD881" s="326"/>
      <c r="AG881" s="326"/>
      <c r="AH881" s="326"/>
      <c r="AI881" s="326"/>
      <c r="AL881" s="326"/>
      <c r="AM881" s="326"/>
      <c r="AN881" s="326"/>
    </row>
    <row r="882" spans="1:40" x14ac:dyDescent="0.15">
      <c r="A882" s="318"/>
      <c r="B882" s="320"/>
      <c r="C882" s="320"/>
      <c r="D882" s="320"/>
      <c r="E882" s="320"/>
      <c r="F882" s="320"/>
      <c r="G882" s="320"/>
      <c r="H882" s="320"/>
      <c r="I882" s="320"/>
      <c r="J882" s="320"/>
      <c r="K882" s="320"/>
      <c r="L882" s="320"/>
      <c r="M882" s="320"/>
      <c r="N882" s="320"/>
      <c r="O882" s="321"/>
      <c r="P882" s="321"/>
      <c r="Y882" s="326"/>
      <c r="Z882" s="326"/>
      <c r="AA882" s="326"/>
      <c r="AB882" s="326"/>
      <c r="AC882" s="326"/>
      <c r="AD882" s="326"/>
      <c r="AG882" s="326"/>
      <c r="AH882" s="326"/>
      <c r="AI882" s="326"/>
      <c r="AL882" s="326"/>
      <c r="AM882" s="326"/>
      <c r="AN882" s="326"/>
    </row>
    <row r="883" spans="1:40" x14ac:dyDescent="0.15">
      <c r="A883" s="318"/>
      <c r="B883" s="320"/>
      <c r="C883" s="320"/>
      <c r="D883" s="320"/>
      <c r="E883" s="320"/>
      <c r="F883" s="320"/>
      <c r="G883" s="320"/>
      <c r="H883" s="320"/>
      <c r="I883" s="320"/>
      <c r="J883" s="320"/>
      <c r="K883" s="320"/>
      <c r="L883" s="320"/>
      <c r="M883" s="320"/>
      <c r="N883" s="320"/>
      <c r="O883" s="321"/>
      <c r="P883" s="321"/>
      <c r="Y883" s="326"/>
      <c r="Z883" s="326"/>
      <c r="AA883" s="326"/>
      <c r="AB883" s="326"/>
      <c r="AC883" s="326"/>
      <c r="AD883" s="326"/>
      <c r="AG883" s="326"/>
      <c r="AH883" s="326"/>
      <c r="AI883" s="326"/>
      <c r="AL883" s="326"/>
      <c r="AM883" s="326"/>
      <c r="AN883" s="326"/>
    </row>
    <row r="884" spans="1:40" x14ac:dyDescent="0.15">
      <c r="A884" s="318"/>
      <c r="B884" s="320"/>
      <c r="C884" s="320"/>
      <c r="D884" s="320"/>
      <c r="E884" s="320"/>
      <c r="F884" s="320"/>
      <c r="G884" s="320"/>
      <c r="H884" s="320"/>
      <c r="I884" s="320"/>
      <c r="J884" s="320"/>
      <c r="K884" s="320"/>
      <c r="L884" s="320"/>
      <c r="M884" s="320"/>
      <c r="N884" s="320"/>
      <c r="O884" s="321"/>
      <c r="P884" s="321"/>
      <c r="Y884" s="326"/>
      <c r="Z884" s="326"/>
      <c r="AA884" s="326"/>
      <c r="AB884" s="326"/>
      <c r="AC884" s="326"/>
      <c r="AD884" s="326"/>
      <c r="AG884" s="326"/>
      <c r="AH884" s="326"/>
      <c r="AI884" s="326"/>
      <c r="AL884" s="326"/>
      <c r="AM884" s="326"/>
      <c r="AN884" s="326"/>
    </row>
    <row r="885" spans="1:40" x14ac:dyDescent="0.15">
      <c r="A885" s="318"/>
      <c r="B885" s="320"/>
      <c r="C885" s="320"/>
      <c r="D885" s="320"/>
      <c r="E885" s="320"/>
      <c r="F885" s="320"/>
      <c r="G885" s="320"/>
      <c r="H885" s="320"/>
      <c r="I885" s="320"/>
      <c r="J885" s="320"/>
      <c r="K885" s="320"/>
      <c r="L885" s="320"/>
      <c r="M885" s="320"/>
      <c r="N885" s="320"/>
      <c r="O885" s="321"/>
      <c r="P885" s="321"/>
      <c r="Y885" s="326"/>
      <c r="Z885" s="326"/>
      <c r="AA885" s="326"/>
      <c r="AB885" s="326"/>
      <c r="AC885" s="326"/>
      <c r="AD885" s="326"/>
      <c r="AG885" s="326"/>
      <c r="AH885" s="326"/>
      <c r="AI885" s="326"/>
      <c r="AL885" s="326"/>
      <c r="AM885" s="326"/>
      <c r="AN885" s="326"/>
    </row>
    <row r="886" spans="1:40" x14ac:dyDescent="0.15">
      <c r="A886" s="318"/>
      <c r="B886" s="320"/>
      <c r="C886" s="320"/>
      <c r="D886" s="320"/>
      <c r="E886" s="320"/>
      <c r="F886" s="320"/>
      <c r="G886" s="320"/>
      <c r="H886" s="320"/>
      <c r="I886" s="320"/>
      <c r="J886" s="320"/>
      <c r="K886" s="320"/>
      <c r="L886" s="320"/>
      <c r="M886" s="320"/>
      <c r="N886" s="320"/>
      <c r="O886" s="321"/>
      <c r="P886" s="321"/>
      <c r="Y886" s="326"/>
      <c r="Z886" s="326"/>
      <c r="AA886" s="326"/>
      <c r="AB886" s="326"/>
      <c r="AC886" s="326"/>
      <c r="AD886" s="326"/>
      <c r="AG886" s="326"/>
      <c r="AH886" s="326"/>
      <c r="AI886" s="326"/>
      <c r="AL886" s="326"/>
      <c r="AM886" s="326"/>
      <c r="AN886" s="326"/>
    </row>
    <row r="887" spans="1:40" x14ac:dyDescent="0.15">
      <c r="A887" s="318"/>
      <c r="B887" s="320"/>
      <c r="C887" s="320"/>
      <c r="D887" s="320"/>
      <c r="E887" s="320"/>
      <c r="F887" s="320"/>
      <c r="G887" s="320"/>
      <c r="H887" s="320"/>
      <c r="I887" s="320"/>
      <c r="J887" s="320"/>
      <c r="K887" s="320"/>
      <c r="L887" s="320"/>
      <c r="M887" s="320"/>
      <c r="N887" s="320"/>
      <c r="O887" s="321"/>
      <c r="P887" s="321"/>
      <c r="Y887" s="326"/>
      <c r="Z887" s="326"/>
      <c r="AA887" s="326"/>
      <c r="AB887" s="326"/>
      <c r="AC887" s="326"/>
      <c r="AD887" s="326"/>
      <c r="AG887" s="326"/>
      <c r="AH887" s="326"/>
      <c r="AI887" s="326"/>
      <c r="AL887" s="326"/>
      <c r="AM887" s="326"/>
      <c r="AN887" s="326"/>
    </row>
    <row r="888" spans="1:40" x14ac:dyDescent="0.15">
      <c r="A888" s="318"/>
      <c r="B888" s="320"/>
      <c r="C888" s="320"/>
      <c r="D888" s="320"/>
      <c r="E888" s="320"/>
      <c r="F888" s="320"/>
      <c r="G888" s="320"/>
      <c r="H888" s="320"/>
      <c r="I888" s="320"/>
      <c r="J888" s="320"/>
      <c r="K888" s="320"/>
      <c r="L888" s="320"/>
      <c r="M888" s="320"/>
      <c r="N888" s="320"/>
      <c r="O888" s="321"/>
      <c r="P888" s="321"/>
      <c r="Y888" s="326"/>
      <c r="Z888" s="326"/>
      <c r="AA888" s="326"/>
      <c r="AB888" s="326"/>
      <c r="AC888" s="326"/>
      <c r="AD888" s="326"/>
      <c r="AG888" s="326"/>
      <c r="AH888" s="326"/>
      <c r="AI888" s="326"/>
      <c r="AL888" s="326"/>
      <c r="AM888" s="326"/>
      <c r="AN888" s="326"/>
    </row>
    <row r="889" spans="1:40" x14ac:dyDescent="0.15">
      <c r="A889" s="318"/>
      <c r="B889" s="320"/>
      <c r="C889" s="320"/>
      <c r="D889" s="320"/>
      <c r="E889" s="320"/>
      <c r="F889" s="320"/>
      <c r="G889" s="320"/>
      <c r="H889" s="320"/>
      <c r="I889" s="320"/>
      <c r="J889" s="320"/>
      <c r="K889" s="320"/>
      <c r="L889" s="320"/>
      <c r="M889" s="320"/>
      <c r="N889" s="320"/>
      <c r="O889" s="321"/>
      <c r="P889" s="321"/>
      <c r="Y889" s="326"/>
      <c r="Z889" s="326"/>
      <c r="AA889" s="326"/>
      <c r="AB889" s="326"/>
      <c r="AC889" s="326"/>
      <c r="AD889" s="326"/>
      <c r="AG889" s="326"/>
      <c r="AH889" s="326"/>
      <c r="AI889" s="326"/>
      <c r="AL889" s="326"/>
      <c r="AM889" s="326"/>
      <c r="AN889" s="326"/>
    </row>
    <row r="890" spans="1:40" x14ac:dyDescent="0.15">
      <c r="A890" s="318"/>
      <c r="B890" s="320"/>
      <c r="C890" s="320"/>
      <c r="D890" s="320"/>
      <c r="E890" s="320"/>
      <c r="F890" s="320"/>
      <c r="G890" s="320"/>
      <c r="H890" s="320"/>
      <c r="I890" s="320"/>
      <c r="J890" s="320"/>
      <c r="K890" s="320"/>
      <c r="L890" s="320"/>
      <c r="M890" s="320"/>
      <c r="N890" s="320"/>
      <c r="O890" s="321"/>
      <c r="P890" s="321"/>
      <c r="Y890" s="326"/>
      <c r="Z890" s="326"/>
      <c r="AA890" s="326"/>
      <c r="AB890" s="326"/>
      <c r="AC890" s="326"/>
      <c r="AD890" s="326"/>
      <c r="AG890" s="326"/>
      <c r="AH890" s="326"/>
      <c r="AI890" s="326"/>
      <c r="AL890" s="326"/>
      <c r="AM890" s="326"/>
      <c r="AN890" s="326"/>
    </row>
    <row r="891" spans="1:40" x14ac:dyDescent="0.15">
      <c r="A891" s="318"/>
      <c r="B891" s="320"/>
      <c r="C891" s="320"/>
      <c r="D891" s="320"/>
      <c r="E891" s="320"/>
      <c r="F891" s="320"/>
      <c r="G891" s="320"/>
      <c r="H891" s="320"/>
      <c r="I891" s="320"/>
      <c r="J891" s="320"/>
      <c r="K891" s="320"/>
      <c r="L891" s="320"/>
      <c r="M891" s="320"/>
      <c r="N891" s="320"/>
      <c r="O891" s="321"/>
      <c r="P891" s="321"/>
      <c r="Y891" s="326"/>
      <c r="Z891" s="326"/>
      <c r="AA891" s="326"/>
      <c r="AB891" s="326"/>
      <c r="AC891" s="326"/>
      <c r="AD891" s="326"/>
      <c r="AG891" s="326"/>
      <c r="AH891" s="326"/>
      <c r="AI891" s="326"/>
      <c r="AL891" s="326"/>
      <c r="AM891" s="326"/>
      <c r="AN891" s="326"/>
    </row>
    <row r="892" spans="1:40" x14ac:dyDescent="0.15">
      <c r="A892" s="318"/>
      <c r="B892" s="320"/>
      <c r="C892" s="320"/>
      <c r="D892" s="320"/>
      <c r="E892" s="320"/>
      <c r="F892" s="320"/>
      <c r="G892" s="320"/>
      <c r="H892" s="320"/>
      <c r="I892" s="320"/>
      <c r="J892" s="320"/>
      <c r="K892" s="320"/>
      <c r="L892" s="320"/>
      <c r="M892" s="320"/>
      <c r="N892" s="320"/>
      <c r="O892" s="321"/>
      <c r="P892" s="321"/>
      <c r="Y892" s="326"/>
      <c r="Z892" s="326"/>
      <c r="AA892" s="326"/>
      <c r="AB892" s="326"/>
      <c r="AC892" s="326"/>
      <c r="AD892" s="326"/>
      <c r="AG892" s="326"/>
      <c r="AH892" s="326"/>
      <c r="AI892" s="326"/>
      <c r="AL892" s="326"/>
      <c r="AM892" s="326"/>
      <c r="AN892" s="326"/>
    </row>
    <row r="893" spans="1:40" x14ac:dyDescent="0.15">
      <c r="A893" s="318"/>
      <c r="B893" s="320"/>
      <c r="C893" s="320"/>
      <c r="D893" s="320"/>
      <c r="E893" s="320"/>
      <c r="F893" s="320"/>
      <c r="G893" s="320"/>
      <c r="H893" s="320"/>
      <c r="I893" s="320"/>
      <c r="J893" s="320"/>
      <c r="K893" s="320"/>
      <c r="L893" s="320"/>
      <c r="M893" s="320"/>
      <c r="N893" s="320"/>
      <c r="O893" s="321"/>
      <c r="P893" s="321"/>
      <c r="Y893" s="326"/>
      <c r="Z893" s="326"/>
      <c r="AA893" s="326"/>
      <c r="AB893" s="326"/>
      <c r="AC893" s="326"/>
      <c r="AD893" s="326"/>
      <c r="AG893" s="326"/>
      <c r="AH893" s="326"/>
      <c r="AI893" s="326"/>
      <c r="AL893" s="326"/>
      <c r="AM893" s="326"/>
      <c r="AN893" s="326"/>
    </row>
    <row r="894" spans="1:40" x14ac:dyDescent="0.15">
      <c r="A894" s="318"/>
      <c r="B894" s="320"/>
      <c r="C894" s="320"/>
      <c r="D894" s="320"/>
      <c r="E894" s="320"/>
      <c r="F894" s="320"/>
      <c r="G894" s="320"/>
      <c r="H894" s="320"/>
      <c r="I894" s="320"/>
      <c r="J894" s="320"/>
      <c r="K894" s="320"/>
      <c r="L894" s="320"/>
      <c r="M894" s="320"/>
      <c r="N894" s="320"/>
      <c r="O894" s="321"/>
      <c r="P894" s="321"/>
      <c r="Y894" s="326"/>
      <c r="Z894" s="326"/>
      <c r="AA894" s="326"/>
      <c r="AB894" s="326"/>
      <c r="AC894" s="326"/>
      <c r="AD894" s="326"/>
      <c r="AG894" s="326"/>
      <c r="AH894" s="326"/>
      <c r="AI894" s="326"/>
      <c r="AL894" s="326"/>
      <c r="AM894" s="326"/>
      <c r="AN894" s="326"/>
    </row>
    <row r="895" spans="1:40" x14ac:dyDescent="0.15">
      <c r="A895" s="318"/>
      <c r="B895" s="320"/>
      <c r="C895" s="320"/>
      <c r="D895" s="320"/>
      <c r="E895" s="320"/>
      <c r="F895" s="320"/>
      <c r="G895" s="320"/>
      <c r="H895" s="320"/>
      <c r="I895" s="320"/>
      <c r="J895" s="320"/>
      <c r="K895" s="320"/>
      <c r="L895" s="320"/>
      <c r="M895" s="320"/>
      <c r="N895" s="320"/>
      <c r="O895" s="321"/>
      <c r="P895" s="321"/>
      <c r="Y895" s="326"/>
      <c r="Z895" s="326"/>
      <c r="AA895" s="326"/>
      <c r="AB895" s="326"/>
      <c r="AC895" s="326"/>
      <c r="AD895" s="326"/>
      <c r="AG895" s="326"/>
      <c r="AH895" s="326"/>
      <c r="AI895" s="326"/>
      <c r="AL895" s="326"/>
      <c r="AM895" s="326"/>
      <c r="AN895" s="326"/>
    </row>
    <row r="896" spans="1:40" x14ac:dyDescent="0.15">
      <c r="A896" s="318"/>
      <c r="B896" s="320"/>
      <c r="C896" s="320"/>
      <c r="D896" s="320"/>
      <c r="E896" s="320"/>
      <c r="F896" s="320"/>
      <c r="G896" s="320"/>
      <c r="H896" s="320"/>
      <c r="I896" s="320"/>
      <c r="J896" s="320"/>
      <c r="K896" s="320"/>
      <c r="L896" s="320"/>
      <c r="M896" s="320"/>
      <c r="N896" s="320"/>
      <c r="O896" s="321"/>
      <c r="P896" s="321"/>
      <c r="Y896" s="326"/>
      <c r="Z896" s="326"/>
      <c r="AA896" s="326"/>
      <c r="AB896" s="326"/>
      <c r="AC896" s="326"/>
      <c r="AD896" s="326"/>
      <c r="AG896" s="326"/>
      <c r="AH896" s="326"/>
      <c r="AI896" s="326"/>
      <c r="AL896" s="326"/>
      <c r="AM896" s="326"/>
      <c r="AN896" s="326"/>
    </row>
    <row r="897" spans="1:40" x14ac:dyDescent="0.15">
      <c r="A897" s="318"/>
      <c r="B897" s="320"/>
      <c r="C897" s="320"/>
      <c r="D897" s="320"/>
      <c r="E897" s="320"/>
      <c r="F897" s="320"/>
      <c r="G897" s="320"/>
      <c r="H897" s="320"/>
      <c r="I897" s="320"/>
      <c r="J897" s="320"/>
      <c r="K897" s="320"/>
      <c r="L897" s="320"/>
      <c r="M897" s="320"/>
      <c r="N897" s="320"/>
      <c r="O897" s="321"/>
      <c r="P897" s="321"/>
      <c r="Y897" s="326"/>
      <c r="Z897" s="326"/>
      <c r="AA897" s="326"/>
      <c r="AB897" s="326"/>
      <c r="AC897" s="326"/>
      <c r="AD897" s="326"/>
      <c r="AG897" s="326"/>
      <c r="AH897" s="326"/>
      <c r="AI897" s="326"/>
      <c r="AL897" s="326"/>
      <c r="AM897" s="326"/>
      <c r="AN897" s="326"/>
    </row>
    <row r="898" spans="1:40" x14ac:dyDescent="0.15">
      <c r="A898" s="318"/>
      <c r="B898" s="320"/>
      <c r="C898" s="320"/>
      <c r="D898" s="320"/>
      <c r="E898" s="320"/>
      <c r="F898" s="320"/>
      <c r="G898" s="320"/>
      <c r="H898" s="320"/>
      <c r="I898" s="320"/>
      <c r="J898" s="320"/>
      <c r="K898" s="320"/>
      <c r="L898" s="320"/>
      <c r="M898" s="320"/>
      <c r="N898" s="320"/>
      <c r="O898" s="321"/>
      <c r="P898" s="321"/>
      <c r="Y898" s="326"/>
      <c r="Z898" s="326"/>
      <c r="AA898" s="326"/>
      <c r="AB898" s="326"/>
      <c r="AC898" s="326"/>
      <c r="AD898" s="326"/>
      <c r="AG898" s="326"/>
      <c r="AH898" s="326"/>
      <c r="AI898" s="326"/>
      <c r="AL898" s="326"/>
      <c r="AM898" s="326"/>
      <c r="AN898" s="326"/>
    </row>
    <row r="899" spans="1:40" x14ac:dyDescent="0.15">
      <c r="A899" s="318"/>
      <c r="B899" s="320"/>
      <c r="C899" s="320"/>
      <c r="D899" s="320"/>
      <c r="E899" s="320"/>
      <c r="F899" s="320"/>
      <c r="G899" s="320"/>
      <c r="H899" s="320"/>
      <c r="I899" s="320"/>
      <c r="J899" s="320"/>
      <c r="K899" s="320"/>
      <c r="L899" s="320"/>
      <c r="M899" s="320"/>
      <c r="N899" s="320"/>
      <c r="O899" s="321"/>
      <c r="P899" s="321"/>
      <c r="Y899" s="326"/>
      <c r="Z899" s="326"/>
      <c r="AA899" s="326"/>
      <c r="AB899" s="326"/>
      <c r="AC899" s="326"/>
      <c r="AD899" s="326"/>
      <c r="AG899" s="326"/>
      <c r="AH899" s="326"/>
      <c r="AI899" s="326"/>
      <c r="AL899" s="326"/>
      <c r="AM899" s="326"/>
      <c r="AN899" s="326"/>
    </row>
    <row r="900" spans="1:40" x14ac:dyDescent="0.15">
      <c r="A900" s="318"/>
      <c r="B900" s="320"/>
      <c r="C900" s="320"/>
      <c r="D900" s="320"/>
      <c r="E900" s="320"/>
      <c r="F900" s="320"/>
      <c r="G900" s="320"/>
      <c r="H900" s="320"/>
      <c r="I900" s="320"/>
      <c r="J900" s="320"/>
      <c r="K900" s="320"/>
      <c r="L900" s="320"/>
      <c r="M900" s="320"/>
      <c r="N900" s="320"/>
      <c r="O900" s="321"/>
      <c r="P900" s="321"/>
      <c r="Y900" s="326"/>
      <c r="Z900" s="326"/>
      <c r="AA900" s="326"/>
      <c r="AB900" s="326"/>
      <c r="AC900" s="326"/>
      <c r="AD900" s="326"/>
      <c r="AG900" s="326"/>
      <c r="AH900" s="326"/>
      <c r="AI900" s="326"/>
      <c r="AL900" s="326"/>
      <c r="AM900" s="326"/>
      <c r="AN900" s="326"/>
    </row>
    <row r="901" spans="1:40" x14ac:dyDescent="0.15">
      <c r="A901" s="318"/>
      <c r="B901" s="320"/>
      <c r="C901" s="320"/>
      <c r="D901" s="320"/>
      <c r="E901" s="320"/>
      <c r="F901" s="320"/>
      <c r="G901" s="320"/>
      <c r="H901" s="320"/>
      <c r="I901" s="320"/>
      <c r="J901" s="320"/>
      <c r="K901" s="320"/>
      <c r="L901" s="320"/>
      <c r="M901" s="320"/>
      <c r="N901" s="320"/>
      <c r="O901" s="321"/>
      <c r="P901" s="321"/>
      <c r="Y901" s="326"/>
      <c r="Z901" s="326"/>
      <c r="AA901" s="326"/>
      <c r="AB901" s="326"/>
      <c r="AC901" s="326"/>
      <c r="AD901" s="326"/>
      <c r="AG901" s="326"/>
      <c r="AH901" s="326"/>
      <c r="AI901" s="326"/>
      <c r="AL901" s="326"/>
      <c r="AM901" s="326"/>
      <c r="AN901" s="326"/>
    </row>
    <row r="902" spans="1:40" x14ac:dyDescent="0.15">
      <c r="A902" s="318"/>
      <c r="B902" s="320"/>
      <c r="C902" s="320"/>
      <c r="D902" s="320"/>
      <c r="E902" s="320"/>
      <c r="F902" s="320"/>
      <c r="G902" s="320"/>
      <c r="H902" s="320"/>
      <c r="I902" s="320"/>
      <c r="J902" s="320"/>
      <c r="K902" s="320"/>
      <c r="L902" s="320"/>
      <c r="M902" s="320"/>
      <c r="N902" s="320"/>
      <c r="O902" s="321"/>
      <c r="P902" s="321"/>
      <c r="Y902" s="326"/>
      <c r="Z902" s="326"/>
      <c r="AA902" s="326"/>
      <c r="AB902" s="326"/>
      <c r="AC902" s="326"/>
      <c r="AD902" s="326"/>
      <c r="AG902" s="326"/>
      <c r="AH902" s="326"/>
      <c r="AI902" s="326"/>
      <c r="AL902" s="326"/>
      <c r="AM902" s="326"/>
      <c r="AN902" s="326"/>
    </row>
    <row r="903" spans="1:40" x14ac:dyDescent="0.15">
      <c r="A903" s="318"/>
      <c r="B903" s="320"/>
      <c r="C903" s="320"/>
      <c r="D903" s="320"/>
      <c r="E903" s="320"/>
      <c r="F903" s="320"/>
      <c r="G903" s="320"/>
      <c r="H903" s="320"/>
      <c r="I903" s="320"/>
      <c r="J903" s="320"/>
      <c r="K903" s="320"/>
      <c r="L903" s="320"/>
      <c r="M903" s="320"/>
      <c r="N903" s="320"/>
      <c r="O903" s="321"/>
      <c r="P903" s="321"/>
      <c r="Y903" s="326"/>
      <c r="Z903" s="326"/>
      <c r="AA903" s="326"/>
      <c r="AB903" s="326"/>
      <c r="AC903" s="326"/>
      <c r="AD903" s="326"/>
      <c r="AG903" s="326"/>
      <c r="AH903" s="326"/>
      <c r="AI903" s="326"/>
      <c r="AL903" s="326"/>
      <c r="AM903" s="326"/>
      <c r="AN903" s="326"/>
    </row>
    <row r="904" spans="1:40" x14ac:dyDescent="0.15">
      <c r="A904" s="318"/>
      <c r="B904" s="320"/>
      <c r="C904" s="320"/>
      <c r="D904" s="320"/>
      <c r="E904" s="320"/>
      <c r="F904" s="320"/>
      <c r="G904" s="320"/>
      <c r="H904" s="320"/>
      <c r="I904" s="320"/>
      <c r="J904" s="320"/>
      <c r="K904" s="320"/>
      <c r="L904" s="320"/>
      <c r="M904" s="320"/>
      <c r="N904" s="320"/>
      <c r="O904" s="321"/>
      <c r="P904" s="321"/>
      <c r="Y904" s="326"/>
      <c r="Z904" s="326"/>
      <c r="AA904" s="326"/>
      <c r="AB904" s="326"/>
      <c r="AC904" s="326"/>
      <c r="AD904" s="326"/>
      <c r="AG904" s="326"/>
      <c r="AH904" s="326"/>
      <c r="AI904" s="326"/>
      <c r="AL904" s="326"/>
      <c r="AM904" s="326"/>
      <c r="AN904" s="326"/>
    </row>
    <row r="905" spans="1:40" x14ac:dyDescent="0.15">
      <c r="A905" s="318"/>
      <c r="B905" s="320"/>
      <c r="C905" s="320"/>
      <c r="D905" s="320"/>
      <c r="E905" s="320"/>
      <c r="F905" s="320"/>
      <c r="G905" s="320"/>
      <c r="H905" s="320"/>
      <c r="I905" s="320"/>
      <c r="J905" s="320"/>
      <c r="K905" s="320"/>
      <c r="L905" s="320"/>
      <c r="M905" s="320"/>
      <c r="N905" s="320"/>
      <c r="O905" s="321"/>
      <c r="P905" s="321"/>
      <c r="Y905" s="326"/>
      <c r="Z905" s="326"/>
      <c r="AA905" s="326"/>
      <c r="AB905" s="326"/>
      <c r="AC905" s="326"/>
      <c r="AD905" s="326"/>
      <c r="AG905" s="326"/>
      <c r="AH905" s="326"/>
      <c r="AI905" s="326"/>
      <c r="AL905" s="326"/>
      <c r="AM905" s="326"/>
      <c r="AN905" s="326"/>
    </row>
    <row r="906" spans="1:40" x14ac:dyDescent="0.15">
      <c r="A906" s="318"/>
      <c r="B906" s="320"/>
      <c r="C906" s="320"/>
      <c r="D906" s="320"/>
      <c r="E906" s="320"/>
      <c r="F906" s="320"/>
      <c r="G906" s="320"/>
      <c r="H906" s="320"/>
      <c r="I906" s="320"/>
      <c r="J906" s="320"/>
      <c r="K906" s="320"/>
      <c r="L906" s="320"/>
      <c r="M906" s="320"/>
      <c r="N906" s="320"/>
      <c r="O906" s="321"/>
      <c r="P906" s="321"/>
      <c r="Y906" s="326"/>
      <c r="Z906" s="326"/>
      <c r="AA906" s="326"/>
      <c r="AB906" s="326"/>
      <c r="AC906" s="326"/>
      <c r="AD906" s="326"/>
      <c r="AG906" s="326"/>
      <c r="AH906" s="326"/>
      <c r="AI906" s="326"/>
      <c r="AL906" s="326"/>
      <c r="AM906" s="326"/>
      <c r="AN906" s="326"/>
    </row>
    <row r="907" spans="1:40" x14ac:dyDescent="0.15">
      <c r="A907" s="318"/>
      <c r="B907" s="320"/>
      <c r="C907" s="320"/>
      <c r="D907" s="320"/>
      <c r="E907" s="320"/>
      <c r="F907" s="320"/>
      <c r="G907" s="320"/>
      <c r="H907" s="320"/>
      <c r="I907" s="320"/>
      <c r="J907" s="320"/>
      <c r="K907" s="320"/>
      <c r="L907" s="320"/>
      <c r="M907" s="320"/>
      <c r="N907" s="320"/>
      <c r="O907" s="321"/>
      <c r="P907" s="321"/>
      <c r="Y907" s="326"/>
      <c r="Z907" s="326"/>
      <c r="AA907" s="326"/>
      <c r="AB907" s="326"/>
      <c r="AC907" s="326"/>
      <c r="AD907" s="326"/>
      <c r="AG907" s="326"/>
      <c r="AH907" s="326"/>
      <c r="AI907" s="326"/>
      <c r="AL907" s="326"/>
      <c r="AM907" s="326"/>
      <c r="AN907" s="326"/>
    </row>
    <row r="908" spans="1:40" x14ac:dyDescent="0.15">
      <c r="A908" s="318"/>
      <c r="B908" s="320"/>
      <c r="C908" s="320"/>
      <c r="D908" s="320"/>
      <c r="E908" s="320"/>
      <c r="F908" s="320"/>
      <c r="G908" s="320"/>
      <c r="H908" s="320"/>
      <c r="I908" s="320"/>
      <c r="J908" s="320"/>
      <c r="K908" s="320"/>
      <c r="L908" s="320"/>
      <c r="M908" s="320"/>
      <c r="N908" s="320"/>
      <c r="O908" s="321"/>
      <c r="P908" s="321"/>
      <c r="Y908" s="326"/>
      <c r="Z908" s="326"/>
      <c r="AA908" s="326"/>
      <c r="AB908" s="326"/>
      <c r="AC908" s="326"/>
      <c r="AD908" s="326"/>
      <c r="AG908" s="326"/>
      <c r="AH908" s="326"/>
      <c r="AI908" s="326"/>
      <c r="AL908" s="326"/>
      <c r="AM908" s="326"/>
      <c r="AN908" s="326"/>
    </row>
    <row r="909" spans="1:40" x14ac:dyDescent="0.15">
      <c r="A909" s="318"/>
      <c r="B909" s="320"/>
      <c r="C909" s="320"/>
      <c r="D909" s="320"/>
      <c r="E909" s="320"/>
      <c r="F909" s="320"/>
      <c r="G909" s="320"/>
      <c r="H909" s="320"/>
      <c r="I909" s="320"/>
      <c r="J909" s="320"/>
      <c r="K909" s="320"/>
      <c r="L909" s="320"/>
      <c r="M909" s="320"/>
      <c r="N909" s="320"/>
      <c r="O909" s="321"/>
      <c r="P909" s="321"/>
      <c r="Y909" s="326"/>
      <c r="Z909" s="326"/>
      <c r="AA909" s="326"/>
      <c r="AB909" s="326"/>
      <c r="AC909" s="326"/>
      <c r="AD909" s="326"/>
      <c r="AG909" s="326"/>
      <c r="AH909" s="326"/>
      <c r="AI909" s="326"/>
      <c r="AL909" s="326"/>
      <c r="AM909" s="326"/>
      <c r="AN909" s="326"/>
    </row>
    <row r="910" spans="1:40" x14ac:dyDescent="0.15">
      <c r="A910" s="318"/>
      <c r="B910" s="320"/>
      <c r="C910" s="320"/>
      <c r="D910" s="320"/>
      <c r="E910" s="320"/>
      <c r="F910" s="320"/>
      <c r="G910" s="320"/>
      <c r="H910" s="320"/>
      <c r="I910" s="320"/>
      <c r="J910" s="320"/>
      <c r="K910" s="320"/>
      <c r="L910" s="320"/>
      <c r="M910" s="320"/>
      <c r="N910" s="320"/>
      <c r="O910" s="321"/>
      <c r="P910" s="321"/>
      <c r="Y910" s="326"/>
      <c r="Z910" s="326"/>
      <c r="AA910" s="326"/>
      <c r="AB910" s="326"/>
      <c r="AC910" s="326"/>
      <c r="AD910" s="326"/>
      <c r="AG910" s="326"/>
      <c r="AH910" s="326"/>
      <c r="AI910" s="326"/>
      <c r="AL910" s="326"/>
      <c r="AM910" s="326"/>
      <c r="AN910" s="326"/>
    </row>
    <row r="911" spans="1:40" x14ac:dyDescent="0.15">
      <c r="A911" s="318"/>
      <c r="B911" s="320"/>
      <c r="C911" s="320"/>
      <c r="D911" s="320"/>
      <c r="E911" s="320"/>
      <c r="F911" s="320"/>
      <c r="G911" s="320"/>
      <c r="H911" s="320"/>
      <c r="I911" s="320"/>
      <c r="J911" s="320"/>
      <c r="K911" s="320"/>
      <c r="L911" s="320"/>
      <c r="M911" s="320"/>
      <c r="N911" s="320"/>
      <c r="O911" s="321"/>
      <c r="P911" s="321"/>
      <c r="Y911" s="326"/>
      <c r="Z911" s="326"/>
      <c r="AA911" s="326"/>
      <c r="AB911" s="326"/>
      <c r="AC911" s="326"/>
      <c r="AD911" s="326"/>
      <c r="AG911" s="326"/>
      <c r="AH911" s="326"/>
      <c r="AI911" s="326"/>
      <c r="AL911" s="326"/>
      <c r="AM911" s="326"/>
      <c r="AN911" s="326"/>
    </row>
    <row r="912" spans="1:40" x14ac:dyDescent="0.15">
      <c r="A912" s="318"/>
      <c r="B912" s="320"/>
      <c r="C912" s="320"/>
      <c r="D912" s="320"/>
      <c r="E912" s="320"/>
      <c r="F912" s="320"/>
      <c r="G912" s="320"/>
      <c r="H912" s="320"/>
      <c r="I912" s="320"/>
      <c r="J912" s="320"/>
      <c r="K912" s="320"/>
      <c r="L912" s="320"/>
      <c r="M912" s="320"/>
      <c r="N912" s="320"/>
      <c r="O912" s="321"/>
      <c r="P912" s="321"/>
      <c r="Y912" s="326"/>
      <c r="Z912" s="326"/>
      <c r="AA912" s="326"/>
      <c r="AB912" s="326"/>
      <c r="AC912" s="326"/>
      <c r="AD912" s="326"/>
      <c r="AG912" s="326"/>
      <c r="AH912" s="326"/>
      <c r="AI912" s="326"/>
      <c r="AL912" s="326"/>
      <c r="AM912" s="326"/>
      <c r="AN912" s="326"/>
    </row>
    <row r="913" spans="1:40" x14ac:dyDescent="0.15">
      <c r="A913" s="318"/>
      <c r="B913" s="320"/>
      <c r="C913" s="320"/>
      <c r="D913" s="320"/>
      <c r="E913" s="320"/>
      <c r="F913" s="320"/>
      <c r="G913" s="320"/>
      <c r="H913" s="320"/>
      <c r="I913" s="320"/>
      <c r="J913" s="320"/>
      <c r="K913" s="320"/>
      <c r="L913" s="320"/>
      <c r="M913" s="320"/>
      <c r="N913" s="320"/>
      <c r="O913" s="321"/>
      <c r="P913" s="321"/>
      <c r="Y913" s="326"/>
      <c r="Z913" s="326"/>
      <c r="AA913" s="326"/>
      <c r="AB913" s="326"/>
      <c r="AC913" s="326"/>
      <c r="AD913" s="326"/>
      <c r="AG913" s="326"/>
      <c r="AH913" s="326"/>
      <c r="AI913" s="326"/>
      <c r="AL913" s="326"/>
      <c r="AM913" s="326"/>
      <c r="AN913" s="326"/>
    </row>
    <row r="914" spans="1:40" x14ac:dyDescent="0.15">
      <c r="A914" s="318"/>
      <c r="B914" s="320"/>
      <c r="C914" s="320"/>
      <c r="D914" s="320"/>
      <c r="E914" s="320"/>
      <c r="F914" s="320"/>
      <c r="G914" s="320"/>
      <c r="H914" s="320"/>
      <c r="I914" s="320"/>
      <c r="J914" s="320"/>
      <c r="K914" s="320"/>
      <c r="L914" s="320"/>
      <c r="M914" s="320"/>
      <c r="N914" s="320"/>
      <c r="O914" s="321"/>
      <c r="P914" s="321"/>
      <c r="Y914" s="326"/>
      <c r="Z914" s="326"/>
      <c r="AA914" s="326"/>
      <c r="AB914" s="326"/>
      <c r="AC914" s="326"/>
      <c r="AD914" s="326"/>
      <c r="AG914" s="326"/>
      <c r="AH914" s="326"/>
      <c r="AI914" s="326"/>
      <c r="AL914" s="326"/>
      <c r="AM914" s="326"/>
      <c r="AN914" s="326"/>
    </row>
    <row r="915" spans="1:40" x14ac:dyDescent="0.15">
      <c r="A915" s="318"/>
      <c r="B915" s="320"/>
      <c r="C915" s="320"/>
      <c r="D915" s="320"/>
      <c r="E915" s="320"/>
      <c r="F915" s="320"/>
      <c r="G915" s="320"/>
      <c r="H915" s="320"/>
      <c r="I915" s="320"/>
      <c r="J915" s="320"/>
      <c r="K915" s="320"/>
      <c r="L915" s="320"/>
      <c r="M915" s="320"/>
      <c r="N915" s="320"/>
      <c r="O915" s="321"/>
      <c r="P915" s="321"/>
      <c r="Y915" s="326"/>
      <c r="Z915" s="326"/>
      <c r="AA915" s="326"/>
      <c r="AB915" s="326"/>
      <c r="AC915" s="326"/>
      <c r="AD915" s="326"/>
      <c r="AG915" s="326"/>
      <c r="AH915" s="326"/>
      <c r="AI915" s="326"/>
      <c r="AL915" s="326"/>
      <c r="AM915" s="326"/>
      <c r="AN915" s="326"/>
    </row>
    <row r="916" spans="1:40" x14ac:dyDescent="0.15">
      <c r="A916" s="318"/>
      <c r="B916" s="320"/>
      <c r="C916" s="320"/>
      <c r="D916" s="320"/>
      <c r="E916" s="320"/>
      <c r="F916" s="320"/>
      <c r="G916" s="320"/>
      <c r="H916" s="320"/>
      <c r="I916" s="320"/>
      <c r="J916" s="320"/>
      <c r="K916" s="320"/>
      <c r="L916" s="320"/>
      <c r="M916" s="320"/>
      <c r="N916" s="320"/>
      <c r="O916" s="321"/>
      <c r="P916" s="321"/>
      <c r="Y916" s="326"/>
      <c r="Z916" s="326"/>
      <c r="AA916" s="326"/>
      <c r="AB916" s="326"/>
      <c r="AC916" s="326"/>
      <c r="AD916" s="326"/>
      <c r="AG916" s="326"/>
      <c r="AH916" s="326"/>
      <c r="AI916" s="326"/>
      <c r="AL916" s="326"/>
      <c r="AM916" s="326"/>
      <c r="AN916" s="326"/>
    </row>
    <row r="917" spans="1:40" x14ac:dyDescent="0.15">
      <c r="A917" s="318"/>
      <c r="B917" s="320"/>
      <c r="C917" s="320"/>
      <c r="D917" s="320"/>
      <c r="E917" s="320"/>
      <c r="F917" s="320"/>
      <c r="G917" s="320"/>
      <c r="H917" s="320"/>
      <c r="I917" s="320"/>
      <c r="J917" s="320"/>
      <c r="K917" s="320"/>
      <c r="L917" s="320"/>
      <c r="M917" s="320"/>
      <c r="N917" s="320"/>
      <c r="O917" s="321"/>
      <c r="P917" s="321"/>
      <c r="Y917" s="326"/>
      <c r="Z917" s="326"/>
      <c r="AA917" s="326"/>
      <c r="AB917" s="326"/>
      <c r="AC917" s="326"/>
      <c r="AD917" s="326"/>
      <c r="AG917" s="326"/>
      <c r="AH917" s="326"/>
      <c r="AI917" s="326"/>
      <c r="AL917" s="326"/>
      <c r="AM917" s="326"/>
      <c r="AN917" s="326"/>
    </row>
    <row r="918" spans="1:40" x14ac:dyDescent="0.15">
      <c r="A918" s="318"/>
      <c r="B918" s="320"/>
      <c r="C918" s="320"/>
      <c r="D918" s="320"/>
      <c r="E918" s="320"/>
      <c r="F918" s="320"/>
      <c r="G918" s="320"/>
      <c r="H918" s="320"/>
      <c r="I918" s="320"/>
      <c r="J918" s="320"/>
      <c r="K918" s="320"/>
      <c r="L918" s="320"/>
      <c r="M918" s="320"/>
      <c r="N918" s="320"/>
      <c r="O918" s="321"/>
      <c r="P918" s="321"/>
      <c r="Y918" s="326"/>
      <c r="Z918" s="326"/>
      <c r="AA918" s="326"/>
      <c r="AB918" s="326"/>
      <c r="AC918" s="326"/>
      <c r="AD918" s="326"/>
      <c r="AG918" s="326"/>
      <c r="AH918" s="326"/>
      <c r="AI918" s="326"/>
      <c r="AL918" s="326"/>
      <c r="AM918" s="326"/>
      <c r="AN918" s="326"/>
    </row>
    <row r="919" spans="1:40" x14ac:dyDescent="0.15">
      <c r="A919" s="318"/>
      <c r="B919" s="320"/>
      <c r="C919" s="320"/>
      <c r="D919" s="320"/>
      <c r="E919" s="320"/>
      <c r="F919" s="320"/>
      <c r="G919" s="320"/>
      <c r="H919" s="320"/>
      <c r="I919" s="320"/>
      <c r="J919" s="320"/>
      <c r="K919" s="320"/>
      <c r="L919" s="320"/>
      <c r="M919" s="320"/>
      <c r="N919" s="320"/>
      <c r="O919" s="321"/>
      <c r="P919" s="321"/>
      <c r="Y919" s="326"/>
      <c r="Z919" s="326"/>
      <c r="AA919" s="326"/>
      <c r="AB919" s="326"/>
      <c r="AC919" s="326"/>
      <c r="AD919" s="326"/>
      <c r="AG919" s="326"/>
      <c r="AH919" s="326"/>
      <c r="AI919" s="326"/>
      <c r="AL919" s="326"/>
      <c r="AM919" s="326"/>
      <c r="AN919" s="326"/>
    </row>
    <row r="920" spans="1:40" x14ac:dyDescent="0.15">
      <c r="A920" s="318"/>
      <c r="B920" s="320"/>
      <c r="C920" s="320"/>
      <c r="D920" s="320"/>
      <c r="E920" s="320"/>
      <c r="F920" s="320"/>
      <c r="G920" s="320"/>
      <c r="H920" s="320"/>
      <c r="I920" s="320"/>
      <c r="J920" s="320"/>
      <c r="K920" s="320"/>
      <c r="L920" s="320"/>
      <c r="M920" s="320"/>
      <c r="N920" s="320"/>
      <c r="O920" s="321"/>
      <c r="P920" s="321"/>
      <c r="Y920" s="326"/>
      <c r="Z920" s="326"/>
      <c r="AA920" s="326"/>
      <c r="AB920" s="326"/>
      <c r="AC920" s="326"/>
      <c r="AD920" s="326"/>
      <c r="AG920" s="326"/>
      <c r="AH920" s="326"/>
      <c r="AI920" s="326"/>
      <c r="AL920" s="326"/>
      <c r="AM920" s="326"/>
      <c r="AN920" s="326"/>
    </row>
    <row r="921" spans="1:40" x14ac:dyDescent="0.15">
      <c r="A921" s="318"/>
      <c r="B921" s="320"/>
      <c r="C921" s="320"/>
      <c r="D921" s="320"/>
      <c r="E921" s="320"/>
      <c r="F921" s="320"/>
      <c r="G921" s="320"/>
      <c r="H921" s="320"/>
      <c r="I921" s="320"/>
      <c r="J921" s="320"/>
      <c r="K921" s="320"/>
      <c r="L921" s="320"/>
      <c r="M921" s="320"/>
      <c r="N921" s="320"/>
      <c r="O921" s="321"/>
      <c r="P921" s="321"/>
      <c r="Y921" s="326"/>
      <c r="Z921" s="326"/>
      <c r="AA921" s="326"/>
      <c r="AB921" s="326"/>
      <c r="AC921" s="326"/>
      <c r="AD921" s="326"/>
      <c r="AG921" s="326"/>
      <c r="AH921" s="326"/>
      <c r="AI921" s="326"/>
      <c r="AL921" s="326"/>
      <c r="AM921" s="326"/>
      <c r="AN921" s="326"/>
    </row>
    <row r="922" spans="1:40" x14ac:dyDescent="0.15">
      <c r="A922" s="318"/>
      <c r="B922" s="320"/>
      <c r="C922" s="320"/>
      <c r="D922" s="320"/>
      <c r="E922" s="320"/>
      <c r="F922" s="320"/>
      <c r="G922" s="320"/>
      <c r="H922" s="320"/>
      <c r="I922" s="320"/>
      <c r="J922" s="320"/>
      <c r="K922" s="320"/>
      <c r="L922" s="320"/>
      <c r="M922" s="320"/>
      <c r="N922" s="320"/>
      <c r="O922" s="321"/>
      <c r="P922" s="321"/>
      <c r="Y922" s="326"/>
      <c r="Z922" s="326"/>
      <c r="AA922" s="326"/>
      <c r="AB922" s="326"/>
      <c r="AC922" s="326"/>
      <c r="AD922" s="326"/>
      <c r="AG922" s="326"/>
      <c r="AH922" s="326"/>
      <c r="AI922" s="326"/>
      <c r="AL922" s="326"/>
      <c r="AM922" s="326"/>
      <c r="AN922" s="326"/>
    </row>
    <row r="923" spans="1:40" x14ac:dyDescent="0.15">
      <c r="A923" s="318"/>
      <c r="B923" s="320"/>
      <c r="C923" s="320"/>
      <c r="D923" s="320"/>
      <c r="E923" s="320"/>
      <c r="F923" s="320"/>
      <c r="G923" s="320"/>
      <c r="H923" s="320"/>
      <c r="I923" s="320"/>
      <c r="J923" s="320"/>
      <c r="K923" s="320"/>
      <c r="L923" s="320"/>
      <c r="M923" s="320"/>
      <c r="N923" s="320"/>
      <c r="O923" s="321"/>
      <c r="P923" s="321"/>
      <c r="Y923" s="326"/>
      <c r="Z923" s="326"/>
      <c r="AA923" s="326"/>
      <c r="AB923" s="326"/>
      <c r="AC923" s="326"/>
      <c r="AD923" s="326"/>
      <c r="AG923" s="326"/>
      <c r="AH923" s="326"/>
      <c r="AI923" s="326"/>
      <c r="AL923" s="326"/>
      <c r="AM923" s="326"/>
      <c r="AN923" s="326"/>
    </row>
    <row r="924" spans="1:40" x14ac:dyDescent="0.15">
      <c r="A924" s="318"/>
      <c r="B924" s="320"/>
      <c r="C924" s="320"/>
      <c r="D924" s="320"/>
      <c r="E924" s="320"/>
      <c r="F924" s="320"/>
      <c r="G924" s="320"/>
      <c r="H924" s="320"/>
      <c r="I924" s="320"/>
      <c r="J924" s="320"/>
      <c r="K924" s="320"/>
      <c r="L924" s="320"/>
      <c r="M924" s="320"/>
      <c r="N924" s="320"/>
      <c r="O924" s="321"/>
      <c r="P924" s="321"/>
      <c r="Y924" s="326"/>
      <c r="Z924" s="326"/>
      <c r="AA924" s="326"/>
      <c r="AB924" s="326"/>
      <c r="AC924" s="326"/>
      <c r="AD924" s="326"/>
      <c r="AG924" s="326"/>
      <c r="AH924" s="326"/>
      <c r="AI924" s="326"/>
      <c r="AL924" s="326"/>
      <c r="AM924" s="326"/>
      <c r="AN924" s="326"/>
    </row>
    <row r="925" spans="1:40" x14ac:dyDescent="0.15">
      <c r="A925" s="318"/>
      <c r="B925" s="320"/>
      <c r="C925" s="320"/>
      <c r="D925" s="320"/>
      <c r="E925" s="320"/>
      <c r="F925" s="320"/>
      <c r="G925" s="320"/>
      <c r="H925" s="320"/>
      <c r="I925" s="320"/>
      <c r="J925" s="320"/>
      <c r="K925" s="320"/>
      <c r="L925" s="320"/>
      <c r="M925" s="320"/>
      <c r="N925" s="320"/>
      <c r="O925" s="321"/>
      <c r="P925" s="321"/>
      <c r="Y925" s="326"/>
      <c r="Z925" s="326"/>
      <c r="AA925" s="326"/>
      <c r="AB925" s="326"/>
      <c r="AC925" s="326"/>
      <c r="AD925" s="326"/>
      <c r="AG925" s="326"/>
      <c r="AH925" s="326"/>
      <c r="AI925" s="326"/>
      <c r="AL925" s="326"/>
      <c r="AM925" s="326"/>
      <c r="AN925" s="326"/>
    </row>
    <row r="926" spans="1:40" x14ac:dyDescent="0.15">
      <c r="A926" s="318"/>
      <c r="B926" s="320"/>
      <c r="C926" s="320"/>
      <c r="D926" s="320"/>
      <c r="E926" s="320"/>
      <c r="F926" s="320"/>
      <c r="G926" s="320"/>
      <c r="H926" s="320"/>
      <c r="I926" s="320"/>
      <c r="J926" s="320"/>
      <c r="K926" s="320"/>
      <c r="L926" s="320"/>
      <c r="M926" s="320"/>
      <c r="N926" s="320"/>
      <c r="O926" s="321"/>
      <c r="P926" s="321"/>
      <c r="Y926" s="326"/>
      <c r="Z926" s="326"/>
      <c r="AA926" s="326"/>
      <c r="AB926" s="326"/>
      <c r="AC926" s="326"/>
      <c r="AD926" s="326"/>
      <c r="AG926" s="326"/>
      <c r="AH926" s="326"/>
      <c r="AI926" s="326"/>
      <c r="AL926" s="326"/>
      <c r="AM926" s="326"/>
      <c r="AN926" s="326"/>
    </row>
    <row r="927" spans="1:40" x14ac:dyDescent="0.15">
      <c r="A927" s="318"/>
      <c r="B927" s="320"/>
      <c r="C927" s="320"/>
      <c r="D927" s="320"/>
      <c r="E927" s="320"/>
      <c r="F927" s="320"/>
      <c r="G927" s="320"/>
      <c r="H927" s="320"/>
      <c r="I927" s="320"/>
      <c r="J927" s="320"/>
      <c r="K927" s="320"/>
      <c r="L927" s="320"/>
      <c r="M927" s="320"/>
      <c r="N927" s="320"/>
      <c r="O927" s="321"/>
      <c r="P927" s="321"/>
      <c r="Y927" s="326"/>
      <c r="Z927" s="326"/>
      <c r="AA927" s="326"/>
      <c r="AB927" s="326"/>
      <c r="AC927" s="326"/>
      <c r="AD927" s="326"/>
      <c r="AG927" s="326"/>
      <c r="AH927" s="326"/>
      <c r="AI927" s="326"/>
      <c r="AL927" s="326"/>
      <c r="AM927" s="326"/>
      <c r="AN927" s="326"/>
    </row>
    <row r="928" spans="1:40" x14ac:dyDescent="0.15">
      <c r="A928" s="318"/>
      <c r="B928" s="320"/>
      <c r="C928" s="320"/>
      <c r="D928" s="320"/>
      <c r="E928" s="320"/>
      <c r="F928" s="320"/>
      <c r="G928" s="320"/>
      <c r="H928" s="320"/>
      <c r="I928" s="320"/>
      <c r="J928" s="320"/>
      <c r="K928" s="320"/>
      <c r="L928" s="320"/>
      <c r="M928" s="320"/>
      <c r="N928" s="320"/>
      <c r="O928" s="321"/>
      <c r="P928" s="321"/>
      <c r="Y928" s="326"/>
      <c r="Z928" s="326"/>
      <c r="AA928" s="326"/>
      <c r="AB928" s="326"/>
      <c r="AC928" s="326"/>
      <c r="AD928" s="326"/>
      <c r="AG928" s="326"/>
      <c r="AH928" s="326"/>
      <c r="AI928" s="326"/>
      <c r="AL928" s="326"/>
      <c r="AM928" s="326"/>
      <c r="AN928" s="326"/>
    </row>
    <row r="929" spans="1:40" x14ac:dyDescent="0.15">
      <c r="A929" s="318"/>
      <c r="B929" s="320"/>
      <c r="C929" s="320"/>
      <c r="D929" s="320"/>
      <c r="E929" s="320"/>
      <c r="F929" s="320"/>
      <c r="G929" s="320"/>
      <c r="H929" s="320"/>
      <c r="I929" s="320"/>
      <c r="J929" s="320"/>
      <c r="K929" s="320"/>
      <c r="L929" s="320"/>
      <c r="M929" s="320"/>
      <c r="N929" s="320"/>
      <c r="O929" s="321"/>
      <c r="P929" s="321"/>
      <c r="Y929" s="326"/>
      <c r="Z929" s="326"/>
      <c r="AA929" s="326"/>
      <c r="AB929" s="326"/>
      <c r="AC929" s="326"/>
      <c r="AD929" s="326"/>
      <c r="AG929" s="326"/>
      <c r="AH929" s="326"/>
      <c r="AI929" s="326"/>
      <c r="AL929" s="326"/>
      <c r="AM929" s="326"/>
      <c r="AN929" s="326"/>
    </row>
    <row r="930" spans="1:40" x14ac:dyDescent="0.15">
      <c r="A930" s="318"/>
      <c r="B930" s="320"/>
      <c r="C930" s="320"/>
      <c r="D930" s="320"/>
      <c r="E930" s="320"/>
      <c r="F930" s="320"/>
      <c r="G930" s="320"/>
      <c r="H930" s="320"/>
      <c r="I930" s="320"/>
      <c r="J930" s="320"/>
      <c r="K930" s="320"/>
      <c r="L930" s="320"/>
      <c r="M930" s="320"/>
      <c r="N930" s="320"/>
      <c r="O930" s="321"/>
      <c r="P930" s="321"/>
      <c r="Y930" s="326"/>
      <c r="Z930" s="326"/>
      <c r="AA930" s="326"/>
      <c r="AB930" s="326"/>
      <c r="AC930" s="326"/>
      <c r="AD930" s="326"/>
      <c r="AG930" s="326"/>
      <c r="AH930" s="326"/>
      <c r="AI930" s="326"/>
      <c r="AL930" s="326"/>
      <c r="AM930" s="326"/>
      <c r="AN930" s="326"/>
    </row>
    <row r="931" spans="1:40" x14ac:dyDescent="0.15">
      <c r="A931" s="318"/>
      <c r="B931" s="320"/>
      <c r="C931" s="320"/>
      <c r="D931" s="320"/>
      <c r="E931" s="320"/>
      <c r="F931" s="320"/>
      <c r="G931" s="320"/>
      <c r="H931" s="320"/>
      <c r="I931" s="320"/>
      <c r="J931" s="320"/>
      <c r="K931" s="320"/>
      <c r="L931" s="320"/>
      <c r="M931" s="320"/>
      <c r="N931" s="320"/>
      <c r="O931" s="321"/>
      <c r="P931" s="321"/>
      <c r="Y931" s="326"/>
      <c r="Z931" s="326"/>
      <c r="AA931" s="326"/>
      <c r="AB931" s="326"/>
      <c r="AC931" s="326"/>
      <c r="AD931" s="326"/>
      <c r="AG931" s="326"/>
      <c r="AH931" s="326"/>
      <c r="AI931" s="326"/>
      <c r="AL931" s="326"/>
      <c r="AM931" s="326"/>
      <c r="AN931" s="326"/>
    </row>
    <row r="932" spans="1:40" x14ac:dyDescent="0.15">
      <c r="A932" s="318"/>
      <c r="B932" s="320"/>
      <c r="C932" s="320"/>
      <c r="D932" s="320"/>
      <c r="E932" s="320"/>
      <c r="F932" s="320"/>
      <c r="G932" s="320"/>
      <c r="H932" s="320"/>
      <c r="I932" s="320"/>
      <c r="J932" s="320"/>
      <c r="K932" s="320"/>
      <c r="L932" s="320"/>
      <c r="M932" s="320"/>
      <c r="N932" s="320"/>
      <c r="O932" s="321"/>
      <c r="P932" s="321"/>
      <c r="Y932" s="326"/>
      <c r="Z932" s="326"/>
      <c r="AA932" s="326"/>
      <c r="AB932" s="326"/>
      <c r="AC932" s="326"/>
      <c r="AD932" s="326"/>
      <c r="AG932" s="326"/>
      <c r="AH932" s="326"/>
      <c r="AI932" s="326"/>
      <c r="AL932" s="326"/>
      <c r="AM932" s="326"/>
      <c r="AN932" s="326"/>
    </row>
    <row r="933" spans="1:40" x14ac:dyDescent="0.15">
      <c r="A933" s="318"/>
      <c r="B933" s="320"/>
      <c r="C933" s="320"/>
      <c r="D933" s="320"/>
      <c r="E933" s="320"/>
      <c r="F933" s="320"/>
      <c r="G933" s="320"/>
      <c r="H933" s="320"/>
      <c r="I933" s="320"/>
      <c r="J933" s="320"/>
      <c r="K933" s="320"/>
      <c r="L933" s="320"/>
      <c r="M933" s="320"/>
      <c r="N933" s="320"/>
      <c r="O933" s="321"/>
      <c r="P933" s="321"/>
      <c r="Y933" s="326"/>
      <c r="Z933" s="326"/>
      <c r="AA933" s="326"/>
      <c r="AB933" s="326"/>
      <c r="AC933" s="326"/>
      <c r="AD933" s="326"/>
      <c r="AG933" s="326"/>
      <c r="AH933" s="326"/>
      <c r="AI933" s="326"/>
      <c r="AL933" s="326"/>
      <c r="AM933" s="326"/>
      <c r="AN933" s="326"/>
    </row>
    <row r="934" spans="1:40" x14ac:dyDescent="0.15">
      <c r="A934" s="318"/>
      <c r="B934" s="320"/>
      <c r="C934" s="320"/>
      <c r="D934" s="320"/>
      <c r="E934" s="320"/>
      <c r="F934" s="320"/>
      <c r="G934" s="320"/>
      <c r="H934" s="320"/>
      <c r="I934" s="320"/>
      <c r="J934" s="320"/>
      <c r="K934" s="320"/>
      <c r="L934" s="320"/>
      <c r="M934" s="320"/>
      <c r="N934" s="320"/>
      <c r="O934" s="321"/>
      <c r="P934" s="321"/>
      <c r="Y934" s="326"/>
      <c r="Z934" s="326"/>
      <c r="AA934" s="326"/>
      <c r="AB934" s="326"/>
      <c r="AC934" s="326"/>
      <c r="AD934" s="326"/>
      <c r="AG934" s="326"/>
      <c r="AH934" s="326"/>
      <c r="AI934" s="326"/>
      <c r="AL934" s="326"/>
      <c r="AM934" s="326"/>
      <c r="AN934" s="326"/>
    </row>
    <row r="935" spans="1:40" x14ac:dyDescent="0.15">
      <c r="A935" s="318"/>
      <c r="B935" s="320"/>
      <c r="C935" s="320"/>
      <c r="D935" s="320"/>
      <c r="E935" s="320"/>
      <c r="F935" s="320"/>
      <c r="G935" s="320"/>
      <c r="H935" s="320"/>
      <c r="I935" s="320"/>
      <c r="J935" s="320"/>
      <c r="K935" s="320"/>
      <c r="L935" s="320"/>
      <c r="M935" s="320"/>
      <c r="N935" s="320"/>
      <c r="O935" s="321"/>
      <c r="P935" s="321"/>
      <c r="Y935" s="326"/>
      <c r="Z935" s="326"/>
      <c r="AA935" s="326"/>
      <c r="AB935" s="326"/>
      <c r="AC935" s="326"/>
      <c r="AD935" s="326"/>
      <c r="AG935" s="326"/>
      <c r="AH935" s="326"/>
      <c r="AI935" s="326"/>
      <c r="AL935" s="326"/>
      <c r="AM935" s="326"/>
      <c r="AN935" s="326"/>
    </row>
    <row r="936" spans="1:40" x14ac:dyDescent="0.15">
      <c r="A936" s="318"/>
      <c r="B936" s="320"/>
      <c r="C936" s="320"/>
      <c r="D936" s="320"/>
      <c r="E936" s="320"/>
      <c r="F936" s="320"/>
      <c r="G936" s="320"/>
      <c r="H936" s="320"/>
      <c r="I936" s="320"/>
      <c r="J936" s="320"/>
      <c r="K936" s="320"/>
      <c r="L936" s="320"/>
      <c r="M936" s="320"/>
      <c r="N936" s="320"/>
      <c r="O936" s="321"/>
      <c r="P936" s="321"/>
      <c r="Y936" s="326"/>
      <c r="Z936" s="326"/>
      <c r="AA936" s="326"/>
      <c r="AB936" s="326"/>
      <c r="AC936" s="326"/>
      <c r="AD936" s="326"/>
      <c r="AG936" s="326"/>
      <c r="AH936" s="326"/>
      <c r="AI936" s="326"/>
      <c r="AL936" s="326"/>
      <c r="AM936" s="326"/>
      <c r="AN936" s="326"/>
    </row>
    <row r="937" spans="1:40" x14ac:dyDescent="0.15">
      <c r="A937" s="318"/>
      <c r="B937" s="320"/>
      <c r="C937" s="320"/>
      <c r="D937" s="320"/>
      <c r="E937" s="320"/>
      <c r="F937" s="320"/>
      <c r="G937" s="320"/>
      <c r="H937" s="320"/>
      <c r="I937" s="320"/>
      <c r="J937" s="320"/>
      <c r="K937" s="320"/>
      <c r="L937" s="320"/>
      <c r="M937" s="320"/>
      <c r="N937" s="320"/>
      <c r="O937" s="321"/>
      <c r="P937" s="321"/>
      <c r="Y937" s="326"/>
      <c r="Z937" s="326"/>
      <c r="AA937" s="326"/>
      <c r="AB937" s="326"/>
      <c r="AC937" s="326"/>
      <c r="AD937" s="326"/>
      <c r="AG937" s="326"/>
      <c r="AH937" s="326"/>
      <c r="AI937" s="326"/>
      <c r="AL937" s="326"/>
      <c r="AM937" s="326"/>
      <c r="AN937" s="326"/>
    </row>
    <row r="938" spans="1:40" x14ac:dyDescent="0.15">
      <c r="A938" s="318"/>
      <c r="B938" s="320"/>
      <c r="C938" s="320"/>
      <c r="D938" s="320"/>
      <c r="E938" s="320"/>
      <c r="F938" s="320"/>
      <c r="G938" s="320"/>
      <c r="H938" s="320"/>
      <c r="I938" s="320"/>
      <c r="J938" s="320"/>
      <c r="K938" s="320"/>
      <c r="L938" s="320"/>
      <c r="M938" s="320"/>
      <c r="N938" s="320"/>
      <c r="O938" s="321"/>
      <c r="P938" s="321"/>
      <c r="Y938" s="326"/>
      <c r="Z938" s="326"/>
      <c r="AA938" s="326"/>
      <c r="AB938" s="326"/>
      <c r="AC938" s="326"/>
      <c r="AD938" s="326"/>
      <c r="AG938" s="326"/>
      <c r="AH938" s="326"/>
      <c r="AI938" s="326"/>
      <c r="AL938" s="326"/>
      <c r="AM938" s="326"/>
      <c r="AN938" s="326"/>
    </row>
    <row r="939" spans="1:40" x14ac:dyDescent="0.15">
      <c r="A939" s="318"/>
      <c r="B939" s="320"/>
      <c r="C939" s="320"/>
      <c r="D939" s="320"/>
      <c r="E939" s="320"/>
      <c r="F939" s="320"/>
      <c r="G939" s="320"/>
      <c r="H939" s="320"/>
      <c r="I939" s="320"/>
      <c r="J939" s="320"/>
      <c r="K939" s="320"/>
      <c r="L939" s="320"/>
      <c r="M939" s="320"/>
      <c r="N939" s="320"/>
      <c r="O939" s="321"/>
      <c r="P939" s="321"/>
      <c r="Y939" s="326"/>
      <c r="Z939" s="326"/>
      <c r="AA939" s="326"/>
      <c r="AB939" s="326"/>
      <c r="AC939" s="326"/>
      <c r="AD939" s="326"/>
      <c r="AG939" s="326"/>
      <c r="AH939" s="326"/>
      <c r="AI939" s="326"/>
      <c r="AL939" s="326"/>
      <c r="AM939" s="326"/>
      <c r="AN939" s="326"/>
    </row>
    <row r="940" spans="1:40" x14ac:dyDescent="0.15">
      <c r="A940" s="318"/>
      <c r="B940" s="320"/>
      <c r="C940" s="320"/>
      <c r="D940" s="320"/>
      <c r="E940" s="320"/>
      <c r="F940" s="320"/>
      <c r="G940" s="320"/>
      <c r="H940" s="320"/>
      <c r="I940" s="320"/>
      <c r="J940" s="320"/>
      <c r="K940" s="320"/>
      <c r="L940" s="320"/>
      <c r="M940" s="320"/>
      <c r="N940" s="320"/>
      <c r="O940" s="321"/>
      <c r="P940" s="321"/>
      <c r="Y940" s="326"/>
      <c r="Z940" s="326"/>
      <c r="AA940" s="326"/>
      <c r="AB940" s="326"/>
      <c r="AC940" s="326"/>
      <c r="AD940" s="326"/>
      <c r="AG940" s="326"/>
      <c r="AH940" s="326"/>
      <c r="AI940" s="326"/>
      <c r="AL940" s="326"/>
      <c r="AM940" s="326"/>
      <c r="AN940" s="326"/>
    </row>
    <row r="941" spans="1:40" x14ac:dyDescent="0.15">
      <c r="A941" s="318"/>
      <c r="B941" s="320"/>
      <c r="C941" s="320"/>
      <c r="D941" s="320"/>
      <c r="E941" s="320"/>
      <c r="F941" s="320"/>
      <c r="G941" s="320"/>
      <c r="H941" s="320"/>
      <c r="I941" s="320"/>
      <c r="J941" s="320"/>
      <c r="K941" s="320"/>
      <c r="L941" s="320"/>
      <c r="M941" s="320"/>
      <c r="N941" s="320"/>
      <c r="O941" s="321"/>
      <c r="P941" s="321"/>
      <c r="Y941" s="326"/>
      <c r="Z941" s="326"/>
      <c r="AA941" s="326"/>
      <c r="AB941" s="326"/>
      <c r="AC941" s="326"/>
      <c r="AD941" s="326"/>
      <c r="AG941" s="326"/>
      <c r="AH941" s="326"/>
      <c r="AI941" s="326"/>
      <c r="AL941" s="326"/>
      <c r="AM941" s="326"/>
      <c r="AN941" s="326"/>
    </row>
    <row r="942" spans="1:40" x14ac:dyDescent="0.15">
      <c r="A942" s="318"/>
      <c r="B942" s="320"/>
      <c r="C942" s="320"/>
      <c r="D942" s="320"/>
      <c r="E942" s="320"/>
      <c r="F942" s="320"/>
      <c r="G942" s="320"/>
      <c r="H942" s="320"/>
      <c r="I942" s="320"/>
      <c r="J942" s="320"/>
      <c r="K942" s="320"/>
      <c r="L942" s="320"/>
      <c r="M942" s="320"/>
      <c r="N942" s="320"/>
      <c r="O942" s="321"/>
      <c r="P942" s="321"/>
      <c r="Y942" s="326"/>
      <c r="Z942" s="326"/>
      <c r="AA942" s="326"/>
      <c r="AB942" s="326"/>
      <c r="AC942" s="326"/>
      <c r="AD942" s="326"/>
      <c r="AG942" s="326"/>
      <c r="AH942" s="326"/>
      <c r="AI942" s="326"/>
      <c r="AL942" s="326"/>
      <c r="AM942" s="326"/>
      <c r="AN942" s="326"/>
    </row>
    <row r="943" spans="1:40" x14ac:dyDescent="0.15">
      <c r="A943" s="318"/>
      <c r="B943" s="320"/>
      <c r="C943" s="320"/>
      <c r="D943" s="320"/>
      <c r="E943" s="320"/>
      <c r="F943" s="320"/>
      <c r="G943" s="320"/>
      <c r="H943" s="320"/>
      <c r="I943" s="320"/>
      <c r="J943" s="320"/>
      <c r="K943" s="320"/>
      <c r="L943" s="320"/>
      <c r="M943" s="320"/>
      <c r="N943" s="320"/>
      <c r="O943" s="321"/>
      <c r="P943" s="321"/>
      <c r="Y943" s="326"/>
      <c r="Z943" s="326"/>
      <c r="AA943" s="326"/>
      <c r="AB943" s="326"/>
      <c r="AC943" s="326"/>
      <c r="AD943" s="326"/>
      <c r="AG943" s="326"/>
      <c r="AH943" s="326"/>
      <c r="AI943" s="326"/>
      <c r="AL943" s="326"/>
      <c r="AM943" s="326"/>
      <c r="AN943" s="326"/>
    </row>
    <row r="944" spans="1:40" x14ac:dyDescent="0.15">
      <c r="A944" s="318"/>
      <c r="B944" s="320"/>
      <c r="C944" s="320"/>
      <c r="D944" s="320"/>
      <c r="E944" s="320"/>
      <c r="F944" s="320"/>
      <c r="G944" s="320"/>
      <c r="H944" s="320"/>
      <c r="I944" s="320"/>
      <c r="J944" s="320"/>
      <c r="K944" s="320"/>
      <c r="L944" s="320"/>
      <c r="M944" s="320"/>
      <c r="N944" s="320"/>
      <c r="O944" s="321"/>
      <c r="P944" s="321"/>
      <c r="Y944" s="326"/>
      <c r="Z944" s="326"/>
      <c r="AA944" s="326"/>
      <c r="AB944" s="326"/>
      <c r="AC944" s="326"/>
      <c r="AD944" s="326"/>
      <c r="AG944" s="326"/>
      <c r="AH944" s="326"/>
      <c r="AI944" s="326"/>
      <c r="AL944" s="326"/>
      <c r="AM944" s="326"/>
      <c r="AN944" s="326"/>
    </row>
    <row r="945" spans="1:40" x14ac:dyDescent="0.15">
      <c r="A945" s="318"/>
      <c r="B945" s="320"/>
      <c r="C945" s="320"/>
      <c r="D945" s="320"/>
      <c r="E945" s="320"/>
      <c r="F945" s="320"/>
      <c r="G945" s="320"/>
      <c r="H945" s="320"/>
      <c r="I945" s="320"/>
      <c r="J945" s="320"/>
      <c r="K945" s="320"/>
      <c r="L945" s="320"/>
      <c r="M945" s="320"/>
      <c r="N945" s="320"/>
      <c r="O945" s="321"/>
      <c r="P945" s="321"/>
      <c r="Y945" s="326"/>
      <c r="Z945" s="326"/>
      <c r="AA945" s="326"/>
      <c r="AB945" s="326"/>
      <c r="AC945" s="326"/>
      <c r="AD945" s="326"/>
      <c r="AG945" s="326"/>
      <c r="AH945" s="326"/>
      <c r="AI945" s="326"/>
      <c r="AL945" s="326"/>
      <c r="AM945" s="326"/>
      <c r="AN945" s="326"/>
    </row>
    <row r="946" spans="1:40" x14ac:dyDescent="0.15">
      <c r="A946" s="318"/>
      <c r="B946" s="320"/>
      <c r="C946" s="320"/>
      <c r="D946" s="320"/>
      <c r="E946" s="320"/>
      <c r="F946" s="320"/>
      <c r="G946" s="320"/>
      <c r="H946" s="320"/>
      <c r="I946" s="320"/>
      <c r="J946" s="320"/>
      <c r="K946" s="320"/>
      <c r="L946" s="320"/>
      <c r="M946" s="320"/>
      <c r="N946" s="320"/>
      <c r="O946" s="321"/>
      <c r="P946" s="321"/>
      <c r="Y946" s="326"/>
      <c r="Z946" s="326"/>
      <c r="AA946" s="326"/>
      <c r="AB946" s="326"/>
      <c r="AC946" s="326"/>
      <c r="AD946" s="326"/>
      <c r="AG946" s="326"/>
      <c r="AH946" s="326"/>
      <c r="AI946" s="326"/>
      <c r="AL946" s="326"/>
      <c r="AM946" s="326"/>
      <c r="AN946" s="326"/>
    </row>
    <row r="947" spans="1:40" x14ac:dyDescent="0.15">
      <c r="A947" s="318"/>
      <c r="B947" s="320"/>
      <c r="C947" s="320"/>
      <c r="D947" s="320"/>
      <c r="E947" s="320"/>
      <c r="F947" s="320"/>
      <c r="G947" s="320"/>
      <c r="H947" s="320"/>
      <c r="I947" s="320"/>
      <c r="J947" s="320"/>
      <c r="K947" s="320"/>
      <c r="L947" s="320"/>
      <c r="M947" s="320"/>
      <c r="N947" s="320"/>
      <c r="O947" s="321"/>
      <c r="P947" s="321"/>
      <c r="Y947" s="326"/>
      <c r="Z947" s="326"/>
      <c r="AA947" s="326"/>
      <c r="AB947" s="326"/>
      <c r="AC947" s="326"/>
      <c r="AD947" s="326"/>
      <c r="AG947" s="326"/>
      <c r="AH947" s="326"/>
      <c r="AI947" s="326"/>
      <c r="AL947" s="326"/>
      <c r="AM947" s="326"/>
      <c r="AN947" s="326"/>
    </row>
    <row r="948" spans="1:40" x14ac:dyDescent="0.15">
      <c r="A948" s="318"/>
      <c r="B948" s="320"/>
      <c r="C948" s="320"/>
      <c r="D948" s="320"/>
      <c r="E948" s="320"/>
      <c r="F948" s="320"/>
      <c r="G948" s="320"/>
      <c r="H948" s="320"/>
      <c r="I948" s="320"/>
      <c r="J948" s="320"/>
      <c r="K948" s="320"/>
      <c r="L948" s="320"/>
      <c r="M948" s="320"/>
      <c r="N948" s="320"/>
      <c r="O948" s="321"/>
      <c r="P948" s="321"/>
      <c r="Y948" s="326"/>
      <c r="Z948" s="326"/>
      <c r="AA948" s="326"/>
      <c r="AB948" s="326"/>
      <c r="AC948" s="326"/>
      <c r="AD948" s="326"/>
      <c r="AG948" s="326"/>
      <c r="AH948" s="326"/>
      <c r="AI948" s="326"/>
      <c r="AL948" s="326"/>
      <c r="AM948" s="326"/>
      <c r="AN948" s="326"/>
    </row>
    <row r="949" spans="1:40" x14ac:dyDescent="0.15">
      <c r="A949" s="318"/>
      <c r="B949" s="320"/>
      <c r="C949" s="320"/>
      <c r="D949" s="320"/>
      <c r="E949" s="320"/>
      <c r="F949" s="320"/>
      <c r="G949" s="320"/>
      <c r="H949" s="320"/>
      <c r="I949" s="320"/>
      <c r="J949" s="320"/>
      <c r="K949" s="320"/>
      <c r="L949" s="320"/>
      <c r="M949" s="320"/>
      <c r="N949" s="320"/>
      <c r="O949" s="321"/>
      <c r="P949" s="321"/>
      <c r="Y949" s="326"/>
      <c r="Z949" s="326"/>
      <c r="AA949" s="326"/>
      <c r="AB949" s="326"/>
      <c r="AC949" s="326"/>
      <c r="AD949" s="326"/>
      <c r="AG949" s="326"/>
      <c r="AH949" s="326"/>
      <c r="AI949" s="326"/>
      <c r="AL949" s="326"/>
      <c r="AM949" s="326"/>
      <c r="AN949" s="326"/>
    </row>
    <row r="950" spans="1:40" x14ac:dyDescent="0.15">
      <c r="A950" s="318"/>
      <c r="B950" s="320"/>
      <c r="C950" s="320"/>
      <c r="D950" s="320"/>
      <c r="E950" s="320"/>
      <c r="F950" s="320"/>
      <c r="G950" s="320"/>
      <c r="H950" s="320"/>
      <c r="I950" s="320"/>
      <c r="J950" s="320"/>
      <c r="K950" s="320"/>
      <c r="L950" s="320"/>
      <c r="M950" s="320"/>
      <c r="N950" s="320"/>
      <c r="O950" s="321"/>
      <c r="P950" s="321"/>
      <c r="Y950" s="326"/>
      <c r="Z950" s="326"/>
      <c r="AA950" s="326"/>
      <c r="AB950" s="326"/>
      <c r="AC950" s="326"/>
      <c r="AD950" s="326"/>
      <c r="AG950" s="326"/>
      <c r="AH950" s="326"/>
      <c r="AI950" s="326"/>
      <c r="AL950" s="326"/>
      <c r="AM950" s="326"/>
      <c r="AN950" s="326"/>
    </row>
    <row r="951" spans="1:40" x14ac:dyDescent="0.15">
      <c r="A951" s="318"/>
      <c r="B951" s="320"/>
      <c r="C951" s="320"/>
      <c r="D951" s="320"/>
      <c r="E951" s="320"/>
      <c r="F951" s="320"/>
      <c r="G951" s="320"/>
      <c r="H951" s="320"/>
      <c r="I951" s="320"/>
      <c r="J951" s="320"/>
      <c r="K951" s="320"/>
      <c r="L951" s="320"/>
      <c r="M951" s="320"/>
      <c r="N951" s="320"/>
      <c r="O951" s="321"/>
      <c r="P951" s="321"/>
      <c r="Y951" s="326"/>
      <c r="Z951" s="326"/>
      <c r="AA951" s="326"/>
      <c r="AB951" s="326"/>
      <c r="AC951" s="326"/>
      <c r="AD951" s="326"/>
      <c r="AG951" s="326"/>
      <c r="AH951" s="326"/>
      <c r="AI951" s="326"/>
      <c r="AL951" s="326"/>
      <c r="AM951" s="326"/>
      <c r="AN951" s="326"/>
    </row>
    <row r="952" spans="1:40" x14ac:dyDescent="0.15">
      <c r="A952" s="318"/>
      <c r="B952" s="320"/>
      <c r="C952" s="320"/>
      <c r="D952" s="320"/>
      <c r="E952" s="320"/>
      <c r="F952" s="320"/>
      <c r="G952" s="320"/>
      <c r="H952" s="320"/>
      <c r="I952" s="320"/>
      <c r="J952" s="320"/>
      <c r="K952" s="320"/>
      <c r="L952" s="320"/>
      <c r="M952" s="320"/>
      <c r="N952" s="320"/>
      <c r="O952" s="321"/>
      <c r="P952" s="321"/>
      <c r="Y952" s="326"/>
      <c r="Z952" s="326"/>
      <c r="AA952" s="326"/>
      <c r="AB952" s="326"/>
      <c r="AC952" s="326"/>
      <c r="AD952" s="326"/>
      <c r="AG952" s="326"/>
      <c r="AH952" s="326"/>
      <c r="AI952" s="326"/>
      <c r="AL952" s="326"/>
      <c r="AM952" s="326"/>
      <c r="AN952" s="326"/>
    </row>
    <row r="953" spans="1:40" x14ac:dyDescent="0.15">
      <c r="A953" s="318"/>
      <c r="B953" s="320"/>
      <c r="C953" s="320"/>
      <c r="D953" s="320"/>
      <c r="E953" s="320"/>
      <c r="F953" s="320"/>
      <c r="G953" s="320"/>
      <c r="H953" s="320"/>
      <c r="I953" s="320"/>
      <c r="J953" s="320"/>
      <c r="K953" s="320"/>
      <c r="L953" s="320"/>
      <c r="M953" s="320"/>
      <c r="N953" s="320"/>
      <c r="O953" s="321"/>
      <c r="P953" s="321"/>
      <c r="Y953" s="326"/>
      <c r="Z953" s="326"/>
      <c r="AA953" s="326"/>
      <c r="AB953" s="326"/>
      <c r="AC953" s="326"/>
      <c r="AD953" s="326"/>
      <c r="AG953" s="326"/>
      <c r="AH953" s="326"/>
      <c r="AI953" s="326"/>
      <c r="AL953" s="326"/>
      <c r="AM953" s="326"/>
      <c r="AN953" s="326"/>
    </row>
    <row r="954" spans="1:40" x14ac:dyDescent="0.15">
      <c r="A954" s="318"/>
      <c r="B954" s="320"/>
      <c r="C954" s="320"/>
      <c r="D954" s="320"/>
      <c r="E954" s="320"/>
      <c r="F954" s="320"/>
      <c r="G954" s="320"/>
      <c r="H954" s="320"/>
      <c r="I954" s="320"/>
      <c r="J954" s="320"/>
      <c r="K954" s="320"/>
      <c r="L954" s="320"/>
      <c r="M954" s="320"/>
      <c r="N954" s="320"/>
      <c r="O954" s="321"/>
      <c r="P954" s="321"/>
      <c r="Y954" s="326"/>
      <c r="Z954" s="326"/>
      <c r="AA954" s="326"/>
      <c r="AB954" s="326"/>
      <c r="AC954" s="326"/>
      <c r="AD954" s="326"/>
      <c r="AG954" s="326"/>
      <c r="AH954" s="326"/>
      <c r="AI954" s="326"/>
      <c r="AL954" s="326"/>
      <c r="AM954" s="326"/>
      <c r="AN954" s="326"/>
    </row>
    <row r="955" spans="1:40" x14ac:dyDescent="0.15">
      <c r="A955" s="318"/>
      <c r="B955" s="320"/>
      <c r="C955" s="320"/>
      <c r="D955" s="320"/>
      <c r="E955" s="320"/>
      <c r="F955" s="320"/>
      <c r="G955" s="320"/>
      <c r="H955" s="320"/>
      <c r="I955" s="320"/>
      <c r="J955" s="320"/>
      <c r="K955" s="320"/>
      <c r="L955" s="320"/>
      <c r="M955" s="320"/>
      <c r="N955" s="320"/>
      <c r="O955" s="321"/>
      <c r="P955" s="321"/>
      <c r="Y955" s="326"/>
      <c r="Z955" s="326"/>
      <c r="AA955" s="326"/>
      <c r="AB955" s="326"/>
      <c r="AC955" s="326"/>
      <c r="AD955" s="326"/>
      <c r="AG955" s="326"/>
      <c r="AH955" s="326"/>
      <c r="AI955" s="326"/>
      <c r="AL955" s="326"/>
      <c r="AM955" s="326"/>
      <c r="AN955" s="326"/>
    </row>
    <row r="956" spans="1:40" x14ac:dyDescent="0.15">
      <c r="A956" s="318"/>
      <c r="B956" s="320"/>
      <c r="C956" s="320"/>
      <c r="D956" s="320"/>
      <c r="E956" s="320"/>
      <c r="F956" s="320"/>
      <c r="G956" s="320"/>
      <c r="H956" s="320"/>
      <c r="I956" s="320"/>
      <c r="J956" s="320"/>
      <c r="K956" s="320"/>
      <c r="L956" s="320"/>
      <c r="M956" s="320"/>
      <c r="N956" s="320"/>
      <c r="O956" s="321"/>
      <c r="P956" s="321"/>
      <c r="Y956" s="326"/>
      <c r="Z956" s="326"/>
      <c r="AA956" s="326"/>
      <c r="AB956" s="326"/>
      <c r="AC956" s="326"/>
      <c r="AD956" s="326"/>
      <c r="AG956" s="326"/>
      <c r="AH956" s="326"/>
      <c r="AI956" s="326"/>
      <c r="AL956" s="326"/>
      <c r="AM956" s="326"/>
      <c r="AN956" s="326"/>
    </row>
    <row r="957" spans="1:40" x14ac:dyDescent="0.15">
      <c r="A957" s="318"/>
      <c r="B957" s="320"/>
      <c r="C957" s="320"/>
      <c r="D957" s="320"/>
      <c r="E957" s="320"/>
      <c r="F957" s="320"/>
      <c r="G957" s="320"/>
      <c r="H957" s="320"/>
      <c r="I957" s="320"/>
      <c r="J957" s="320"/>
      <c r="K957" s="320"/>
      <c r="L957" s="320"/>
      <c r="M957" s="320"/>
      <c r="N957" s="320"/>
      <c r="O957" s="321"/>
      <c r="P957" s="321"/>
      <c r="Y957" s="326"/>
      <c r="Z957" s="326"/>
      <c r="AA957" s="326"/>
      <c r="AB957" s="326"/>
      <c r="AC957" s="326"/>
      <c r="AD957" s="326"/>
      <c r="AG957" s="326"/>
      <c r="AH957" s="326"/>
      <c r="AI957" s="326"/>
      <c r="AL957" s="326"/>
      <c r="AM957" s="326"/>
      <c r="AN957" s="326"/>
    </row>
    <row r="958" spans="1:40" x14ac:dyDescent="0.15">
      <c r="A958" s="318"/>
      <c r="B958" s="320"/>
      <c r="C958" s="320"/>
      <c r="D958" s="320"/>
      <c r="E958" s="320"/>
      <c r="F958" s="320"/>
      <c r="G958" s="320"/>
      <c r="H958" s="320"/>
      <c r="I958" s="320"/>
      <c r="J958" s="320"/>
      <c r="K958" s="320"/>
      <c r="L958" s="320"/>
      <c r="M958" s="320"/>
      <c r="N958" s="320"/>
      <c r="O958" s="321"/>
      <c r="P958" s="321"/>
      <c r="Y958" s="326"/>
      <c r="Z958" s="326"/>
      <c r="AA958" s="326"/>
      <c r="AB958" s="326"/>
      <c r="AC958" s="326"/>
      <c r="AD958" s="326"/>
      <c r="AG958" s="326"/>
      <c r="AH958" s="326"/>
      <c r="AI958" s="326"/>
      <c r="AL958" s="326"/>
      <c r="AM958" s="326"/>
      <c r="AN958" s="326"/>
    </row>
    <row r="959" spans="1:40" x14ac:dyDescent="0.15">
      <c r="A959" s="318"/>
      <c r="B959" s="320"/>
      <c r="C959" s="320"/>
      <c r="D959" s="320"/>
      <c r="E959" s="320"/>
      <c r="F959" s="320"/>
      <c r="G959" s="320"/>
      <c r="H959" s="320"/>
      <c r="I959" s="320"/>
      <c r="J959" s="320"/>
      <c r="K959" s="320"/>
      <c r="L959" s="320"/>
      <c r="M959" s="320"/>
      <c r="N959" s="320"/>
      <c r="O959" s="321"/>
      <c r="P959" s="321"/>
      <c r="Y959" s="326"/>
      <c r="Z959" s="326"/>
      <c r="AA959" s="326"/>
      <c r="AB959" s="326"/>
      <c r="AC959" s="326"/>
      <c r="AD959" s="326"/>
      <c r="AG959" s="326"/>
      <c r="AH959" s="326"/>
      <c r="AI959" s="326"/>
      <c r="AL959" s="326"/>
      <c r="AM959" s="326"/>
      <c r="AN959" s="326"/>
    </row>
    <row r="960" spans="1:40" x14ac:dyDescent="0.15">
      <c r="A960" s="318"/>
      <c r="B960" s="320"/>
      <c r="C960" s="320"/>
      <c r="D960" s="320"/>
      <c r="E960" s="320"/>
      <c r="F960" s="320"/>
      <c r="G960" s="320"/>
      <c r="H960" s="320"/>
      <c r="I960" s="320"/>
      <c r="J960" s="320"/>
      <c r="K960" s="320"/>
      <c r="L960" s="320"/>
      <c r="M960" s="320"/>
      <c r="N960" s="320"/>
      <c r="O960" s="321"/>
      <c r="P960" s="321"/>
      <c r="Y960" s="326"/>
      <c r="Z960" s="326"/>
      <c r="AA960" s="326"/>
      <c r="AB960" s="326"/>
      <c r="AC960" s="326"/>
      <c r="AD960" s="326"/>
      <c r="AG960" s="326"/>
      <c r="AH960" s="326"/>
      <c r="AI960" s="326"/>
      <c r="AL960" s="326"/>
      <c r="AM960" s="326"/>
      <c r="AN960" s="326"/>
    </row>
    <row r="961" spans="1:40" x14ac:dyDescent="0.15">
      <c r="A961" s="318"/>
      <c r="B961" s="320"/>
      <c r="C961" s="320"/>
      <c r="D961" s="320"/>
      <c r="E961" s="320"/>
      <c r="F961" s="320"/>
      <c r="G961" s="320"/>
      <c r="H961" s="320"/>
      <c r="I961" s="320"/>
      <c r="J961" s="320"/>
      <c r="K961" s="320"/>
      <c r="L961" s="320"/>
      <c r="M961" s="320"/>
      <c r="N961" s="320"/>
      <c r="O961" s="321"/>
      <c r="P961" s="321"/>
      <c r="Y961" s="326"/>
      <c r="Z961" s="326"/>
      <c r="AA961" s="326"/>
      <c r="AB961" s="326"/>
      <c r="AC961" s="326"/>
      <c r="AD961" s="326"/>
      <c r="AG961" s="326"/>
      <c r="AH961" s="326"/>
      <c r="AI961" s="326"/>
      <c r="AL961" s="326"/>
      <c r="AM961" s="326"/>
      <c r="AN961" s="326"/>
    </row>
    <row r="962" spans="1:40" x14ac:dyDescent="0.15">
      <c r="A962" s="318"/>
      <c r="B962" s="320"/>
      <c r="C962" s="320"/>
      <c r="D962" s="320"/>
      <c r="E962" s="320"/>
      <c r="F962" s="320"/>
      <c r="G962" s="320"/>
      <c r="H962" s="320"/>
      <c r="I962" s="320"/>
      <c r="J962" s="320"/>
      <c r="K962" s="320"/>
      <c r="L962" s="320"/>
      <c r="M962" s="320"/>
      <c r="N962" s="320"/>
      <c r="O962" s="321"/>
      <c r="P962" s="321"/>
      <c r="Y962" s="326"/>
      <c r="Z962" s="326"/>
      <c r="AA962" s="326"/>
      <c r="AB962" s="326"/>
      <c r="AC962" s="326"/>
      <c r="AD962" s="326"/>
      <c r="AG962" s="326"/>
      <c r="AH962" s="326"/>
      <c r="AI962" s="326"/>
      <c r="AL962" s="326"/>
      <c r="AM962" s="326"/>
      <c r="AN962" s="326"/>
    </row>
    <row r="963" spans="1:40" x14ac:dyDescent="0.15">
      <c r="A963" s="318"/>
      <c r="B963" s="320"/>
      <c r="C963" s="320"/>
      <c r="D963" s="320"/>
      <c r="E963" s="320"/>
      <c r="F963" s="320"/>
      <c r="G963" s="320"/>
      <c r="H963" s="320"/>
      <c r="I963" s="320"/>
      <c r="J963" s="320"/>
      <c r="K963" s="320"/>
      <c r="L963" s="320"/>
      <c r="M963" s="320"/>
      <c r="N963" s="320"/>
      <c r="O963" s="321"/>
      <c r="P963" s="321"/>
      <c r="Y963" s="326"/>
      <c r="Z963" s="326"/>
      <c r="AA963" s="326"/>
      <c r="AB963" s="326"/>
      <c r="AC963" s="326"/>
      <c r="AD963" s="326"/>
      <c r="AG963" s="326"/>
      <c r="AH963" s="326"/>
      <c r="AI963" s="326"/>
      <c r="AL963" s="326"/>
      <c r="AM963" s="326"/>
      <c r="AN963" s="326"/>
    </row>
    <row r="964" spans="1:40" x14ac:dyDescent="0.15">
      <c r="A964" s="318"/>
      <c r="B964" s="320"/>
      <c r="C964" s="320"/>
      <c r="D964" s="320"/>
      <c r="E964" s="320"/>
      <c r="F964" s="320"/>
      <c r="G964" s="320"/>
      <c r="H964" s="320"/>
      <c r="I964" s="320"/>
      <c r="J964" s="320"/>
      <c r="K964" s="320"/>
      <c r="L964" s="320"/>
      <c r="M964" s="320"/>
      <c r="N964" s="320"/>
      <c r="O964" s="321"/>
      <c r="P964" s="321"/>
      <c r="Y964" s="326"/>
      <c r="Z964" s="326"/>
      <c r="AA964" s="326"/>
      <c r="AB964" s="326"/>
      <c r="AC964" s="326"/>
      <c r="AD964" s="326"/>
      <c r="AG964" s="326"/>
      <c r="AH964" s="326"/>
      <c r="AI964" s="326"/>
      <c r="AL964" s="326"/>
      <c r="AM964" s="326"/>
      <c r="AN964" s="326"/>
    </row>
    <row r="965" spans="1:40" x14ac:dyDescent="0.15">
      <c r="A965" s="318"/>
      <c r="B965" s="320"/>
      <c r="C965" s="320"/>
      <c r="D965" s="320"/>
      <c r="E965" s="320"/>
      <c r="F965" s="320"/>
      <c r="G965" s="320"/>
      <c r="H965" s="320"/>
      <c r="I965" s="320"/>
      <c r="J965" s="320"/>
      <c r="K965" s="320"/>
      <c r="L965" s="320"/>
      <c r="M965" s="320"/>
      <c r="N965" s="320"/>
      <c r="O965" s="321"/>
      <c r="P965" s="321"/>
      <c r="Y965" s="326"/>
      <c r="Z965" s="326"/>
      <c r="AA965" s="326"/>
      <c r="AB965" s="326"/>
      <c r="AC965" s="326"/>
      <c r="AD965" s="326"/>
      <c r="AG965" s="326"/>
      <c r="AH965" s="326"/>
      <c r="AI965" s="326"/>
      <c r="AL965" s="326"/>
      <c r="AM965" s="326"/>
      <c r="AN965" s="326"/>
    </row>
    <row r="966" spans="1:40" x14ac:dyDescent="0.15">
      <c r="A966" s="318"/>
      <c r="B966" s="320"/>
      <c r="C966" s="320"/>
      <c r="D966" s="320"/>
      <c r="E966" s="320"/>
      <c r="F966" s="320"/>
      <c r="G966" s="320"/>
      <c r="H966" s="320"/>
      <c r="I966" s="320"/>
      <c r="J966" s="320"/>
      <c r="K966" s="320"/>
      <c r="L966" s="320"/>
      <c r="M966" s="320"/>
      <c r="N966" s="320"/>
      <c r="O966" s="321"/>
      <c r="P966" s="321"/>
      <c r="Y966" s="326"/>
      <c r="Z966" s="326"/>
      <c r="AA966" s="326"/>
      <c r="AB966" s="326"/>
      <c r="AC966" s="326"/>
      <c r="AD966" s="326"/>
      <c r="AG966" s="326"/>
      <c r="AH966" s="326"/>
      <c r="AI966" s="326"/>
      <c r="AL966" s="326"/>
      <c r="AM966" s="326"/>
      <c r="AN966" s="326"/>
    </row>
    <row r="967" spans="1:40" x14ac:dyDescent="0.15">
      <c r="A967" s="318"/>
      <c r="B967" s="320"/>
      <c r="C967" s="320"/>
      <c r="D967" s="320"/>
      <c r="E967" s="320"/>
      <c r="F967" s="320"/>
      <c r="G967" s="320"/>
      <c r="H967" s="320"/>
      <c r="I967" s="320"/>
      <c r="J967" s="320"/>
      <c r="K967" s="320"/>
      <c r="L967" s="320"/>
      <c r="M967" s="320"/>
      <c r="N967" s="320"/>
      <c r="O967" s="321"/>
      <c r="P967" s="321"/>
      <c r="Y967" s="326"/>
      <c r="Z967" s="326"/>
      <c r="AA967" s="326"/>
      <c r="AB967" s="326"/>
      <c r="AC967" s="326"/>
      <c r="AD967" s="326"/>
      <c r="AG967" s="326"/>
      <c r="AH967" s="326"/>
      <c r="AI967" s="326"/>
      <c r="AL967" s="326"/>
      <c r="AM967" s="326"/>
      <c r="AN967" s="326"/>
    </row>
    <row r="968" spans="1:40" x14ac:dyDescent="0.15">
      <c r="A968" s="318"/>
      <c r="B968" s="320"/>
      <c r="C968" s="320"/>
      <c r="D968" s="320"/>
      <c r="E968" s="320"/>
      <c r="F968" s="320"/>
      <c r="G968" s="320"/>
      <c r="H968" s="320"/>
      <c r="I968" s="320"/>
      <c r="J968" s="320"/>
      <c r="K968" s="320"/>
      <c r="L968" s="320"/>
      <c r="M968" s="320"/>
      <c r="N968" s="320"/>
      <c r="O968" s="321"/>
      <c r="P968" s="321"/>
      <c r="Y968" s="326"/>
      <c r="Z968" s="326"/>
      <c r="AA968" s="326"/>
      <c r="AB968" s="326"/>
      <c r="AC968" s="326"/>
      <c r="AD968" s="326"/>
      <c r="AG968" s="326"/>
      <c r="AH968" s="326"/>
      <c r="AI968" s="326"/>
      <c r="AL968" s="326"/>
      <c r="AM968" s="326"/>
      <c r="AN968" s="326"/>
    </row>
    <row r="969" spans="1:40" x14ac:dyDescent="0.15">
      <c r="A969" s="318"/>
      <c r="B969" s="320"/>
      <c r="C969" s="320"/>
      <c r="D969" s="320"/>
      <c r="E969" s="320"/>
      <c r="F969" s="320"/>
      <c r="G969" s="320"/>
      <c r="H969" s="320"/>
      <c r="I969" s="320"/>
      <c r="J969" s="320"/>
      <c r="K969" s="320"/>
      <c r="L969" s="320"/>
      <c r="M969" s="320"/>
      <c r="N969" s="320"/>
      <c r="O969" s="321"/>
      <c r="P969" s="321"/>
      <c r="Y969" s="326"/>
      <c r="Z969" s="326"/>
      <c r="AA969" s="326"/>
      <c r="AB969" s="326"/>
      <c r="AC969" s="326"/>
      <c r="AD969" s="326"/>
      <c r="AG969" s="326"/>
      <c r="AH969" s="326"/>
      <c r="AI969" s="326"/>
      <c r="AL969" s="326"/>
      <c r="AM969" s="326"/>
      <c r="AN969" s="326"/>
    </row>
    <row r="970" spans="1:40" x14ac:dyDescent="0.15">
      <c r="A970" s="318"/>
      <c r="B970" s="320"/>
      <c r="C970" s="320"/>
      <c r="D970" s="320"/>
      <c r="E970" s="320"/>
      <c r="F970" s="320"/>
      <c r="G970" s="320"/>
      <c r="H970" s="320"/>
      <c r="I970" s="320"/>
      <c r="J970" s="320"/>
      <c r="K970" s="320"/>
      <c r="L970" s="320"/>
      <c r="M970" s="320"/>
      <c r="N970" s="320"/>
      <c r="O970" s="321"/>
      <c r="P970" s="321"/>
      <c r="Y970" s="326"/>
      <c r="Z970" s="326"/>
      <c r="AA970" s="326"/>
      <c r="AB970" s="326"/>
      <c r="AC970" s="326"/>
      <c r="AD970" s="326"/>
      <c r="AG970" s="326"/>
      <c r="AH970" s="326"/>
      <c r="AI970" s="326"/>
      <c r="AL970" s="326"/>
      <c r="AM970" s="326"/>
      <c r="AN970" s="326"/>
    </row>
    <row r="971" spans="1:40" x14ac:dyDescent="0.15">
      <c r="A971" s="318"/>
      <c r="B971" s="320"/>
      <c r="C971" s="320"/>
      <c r="D971" s="320"/>
      <c r="E971" s="320"/>
      <c r="F971" s="320"/>
      <c r="G971" s="320"/>
      <c r="H971" s="320"/>
      <c r="I971" s="320"/>
      <c r="J971" s="320"/>
      <c r="K971" s="320"/>
      <c r="L971" s="320"/>
      <c r="M971" s="320"/>
      <c r="N971" s="320"/>
      <c r="O971" s="321"/>
      <c r="P971" s="321"/>
      <c r="Y971" s="326"/>
      <c r="Z971" s="326"/>
      <c r="AA971" s="326"/>
      <c r="AB971" s="326"/>
      <c r="AC971" s="326"/>
      <c r="AD971" s="326"/>
      <c r="AG971" s="326"/>
      <c r="AH971" s="326"/>
      <c r="AI971" s="326"/>
      <c r="AL971" s="326"/>
      <c r="AM971" s="326"/>
      <c r="AN971" s="326"/>
    </row>
    <row r="972" spans="1:40" x14ac:dyDescent="0.15">
      <c r="A972" s="318"/>
      <c r="B972" s="320"/>
      <c r="C972" s="320"/>
      <c r="D972" s="320"/>
      <c r="E972" s="320"/>
      <c r="F972" s="320"/>
      <c r="G972" s="320"/>
      <c r="H972" s="320"/>
      <c r="I972" s="320"/>
      <c r="J972" s="320"/>
      <c r="K972" s="320"/>
      <c r="L972" s="320"/>
      <c r="M972" s="320"/>
      <c r="N972" s="320"/>
      <c r="O972" s="321"/>
      <c r="P972" s="321"/>
      <c r="Y972" s="326"/>
      <c r="Z972" s="326"/>
      <c r="AA972" s="326"/>
      <c r="AB972" s="326"/>
      <c r="AC972" s="326"/>
      <c r="AD972" s="326"/>
      <c r="AG972" s="326"/>
      <c r="AH972" s="326"/>
      <c r="AI972" s="326"/>
      <c r="AL972" s="326"/>
      <c r="AM972" s="326"/>
      <c r="AN972" s="326"/>
    </row>
    <row r="973" spans="1:40" x14ac:dyDescent="0.15">
      <c r="A973" s="318"/>
      <c r="B973" s="320"/>
      <c r="C973" s="320"/>
      <c r="D973" s="320"/>
      <c r="E973" s="320"/>
      <c r="F973" s="320"/>
      <c r="G973" s="320"/>
      <c r="H973" s="320"/>
      <c r="I973" s="320"/>
      <c r="J973" s="320"/>
      <c r="K973" s="320"/>
      <c r="L973" s="320"/>
      <c r="M973" s="320"/>
      <c r="N973" s="320"/>
      <c r="O973" s="321"/>
      <c r="P973" s="321"/>
      <c r="Y973" s="326"/>
      <c r="Z973" s="326"/>
      <c r="AA973" s="326"/>
      <c r="AB973" s="326"/>
      <c r="AC973" s="326"/>
      <c r="AD973" s="326"/>
      <c r="AG973" s="326"/>
      <c r="AH973" s="326"/>
      <c r="AI973" s="326"/>
      <c r="AL973" s="326"/>
      <c r="AM973" s="326"/>
      <c r="AN973" s="326"/>
    </row>
    <row r="974" spans="1:40" x14ac:dyDescent="0.15">
      <c r="A974" s="318"/>
      <c r="B974" s="320"/>
      <c r="C974" s="320"/>
      <c r="D974" s="320"/>
      <c r="E974" s="320"/>
      <c r="F974" s="320"/>
      <c r="G974" s="320"/>
      <c r="H974" s="320"/>
      <c r="I974" s="320"/>
      <c r="J974" s="320"/>
      <c r="K974" s="320"/>
      <c r="L974" s="320"/>
      <c r="M974" s="320"/>
      <c r="N974" s="320"/>
      <c r="O974" s="321"/>
      <c r="P974" s="321"/>
      <c r="Y974" s="326"/>
      <c r="Z974" s="326"/>
      <c r="AA974" s="326"/>
      <c r="AB974" s="326"/>
      <c r="AC974" s="326"/>
      <c r="AD974" s="326"/>
      <c r="AG974" s="326"/>
      <c r="AH974" s="326"/>
      <c r="AI974" s="326"/>
      <c r="AL974" s="326"/>
      <c r="AM974" s="326"/>
      <c r="AN974" s="326"/>
    </row>
    <row r="975" spans="1:40" x14ac:dyDescent="0.15">
      <c r="A975" s="318"/>
      <c r="B975" s="320"/>
      <c r="C975" s="320"/>
      <c r="D975" s="320"/>
      <c r="E975" s="320"/>
      <c r="F975" s="320"/>
      <c r="G975" s="320"/>
      <c r="H975" s="320"/>
      <c r="I975" s="320"/>
      <c r="J975" s="320"/>
      <c r="K975" s="320"/>
      <c r="L975" s="320"/>
      <c r="M975" s="320"/>
      <c r="N975" s="320"/>
      <c r="O975" s="321"/>
      <c r="P975" s="321"/>
      <c r="Y975" s="326"/>
      <c r="Z975" s="326"/>
      <c r="AA975" s="326"/>
      <c r="AB975" s="326"/>
      <c r="AC975" s="326"/>
      <c r="AD975" s="326"/>
      <c r="AG975" s="326"/>
      <c r="AH975" s="326"/>
      <c r="AI975" s="326"/>
      <c r="AL975" s="326"/>
      <c r="AM975" s="326"/>
      <c r="AN975" s="326"/>
    </row>
    <row r="976" spans="1:40" x14ac:dyDescent="0.15">
      <c r="A976" s="318"/>
      <c r="B976" s="320"/>
      <c r="C976" s="320"/>
      <c r="D976" s="320"/>
      <c r="E976" s="320"/>
      <c r="F976" s="320"/>
      <c r="G976" s="320"/>
      <c r="H976" s="320"/>
      <c r="I976" s="320"/>
      <c r="J976" s="320"/>
      <c r="K976" s="320"/>
      <c r="L976" s="320"/>
      <c r="M976" s="320"/>
      <c r="N976" s="320"/>
      <c r="O976" s="321"/>
      <c r="P976" s="321"/>
      <c r="Y976" s="326"/>
      <c r="Z976" s="326"/>
      <c r="AA976" s="326"/>
      <c r="AB976" s="326"/>
      <c r="AC976" s="326"/>
      <c r="AD976" s="326"/>
      <c r="AG976" s="326"/>
      <c r="AH976" s="326"/>
      <c r="AI976" s="326"/>
      <c r="AL976" s="326"/>
      <c r="AM976" s="326"/>
      <c r="AN976" s="326"/>
    </row>
    <row r="977" spans="1:40" x14ac:dyDescent="0.15">
      <c r="A977" s="318"/>
      <c r="B977" s="320"/>
      <c r="C977" s="320"/>
      <c r="D977" s="320"/>
      <c r="E977" s="320"/>
      <c r="F977" s="320"/>
      <c r="G977" s="320"/>
      <c r="H977" s="320"/>
      <c r="I977" s="320"/>
      <c r="J977" s="320"/>
      <c r="K977" s="320"/>
      <c r="L977" s="320"/>
      <c r="M977" s="320"/>
      <c r="N977" s="320"/>
      <c r="O977" s="321"/>
      <c r="P977" s="321"/>
      <c r="Y977" s="326"/>
      <c r="Z977" s="326"/>
      <c r="AA977" s="326"/>
      <c r="AB977" s="326"/>
      <c r="AC977" s="326"/>
      <c r="AD977" s="326"/>
      <c r="AG977" s="326"/>
      <c r="AH977" s="326"/>
      <c r="AI977" s="326"/>
      <c r="AL977" s="326"/>
      <c r="AM977" s="326"/>
      <c r="AN977" s="326"/>
    </row>
    <row r="978" spans="1:40" x14ac:dyDescent="0.15">
      <c r="A978" s="318"/>
      <c r="B978" s="320"/>
      <c r="C978" s="320"/>
      <c r="D978" s="320"/>
      <c r="E978" s="320"/>
      <c r="F978" s="320"/>
      <c r="G978" s="320"/>
      <c r="H978" s="320"/>
      <c r="I978" s="320"/>
      <c r="J978" s="320"/>
      <c r="K978" s="320"/>
      <c r="L978" s="320"/>
      <c r="M978" s="320"/>
      <c r="N978" s="320"/>
      <c r="O978" s="321"/>
      <c r="P978" s="321"/>
      <c r="AB978" s="326"/>
      <c r="AC978" s="326"/>
      <c r="AD978" s="326"/>
      <c r="AG978" s="326"/>
      <c r="AH978" s="326"/>
      <c r="AI978" s="326"/>
      <c r="AL978" s="326"/>
    </row>
    <row r="979" spans="1:40" x14ac:dyDescent="0.15">
      <c r="A979" s="318"/>
      <c r="B979" s="320"/>
      <c r="C979" s="320"/>
      <c r="D979" s="320"/>
      <c r="E979" s="320"/>
      <c r="F979" s="320"/>
      <c r="G979" s="320"/>
      <c r="H979" s="320"/>
      <c r="I979" s="320"/>
      <c r="J979" s="320"/>
      <c r="K979" s="320"/>
      <c r="L979" s="320"/>
      <c r="M979" s="320"/>
      <c r="N979" s="320"/>
      <c r="O979" s="321"/>
      <c r="P979" s="321"/>
      <c r="AB979" s="326"/>
      <c r="AC979" s="326"/>
      <c r="AD979" s="326"/>
      <c r="AG979" s="326"/>
      <c r="AH979" s="326"/>
      <c r="AI979" s="326"/>
      <c r="AL979" s="326"/>
    </row>
    <row r="980" spans="1:40" x14ac:dyDescent="0.15">
      <c r="A980" s="318"/>
      <c r="B980" s="320"/>
      <c r="C980" s="320"/>
      <c r="D980" s="320"/>
      <c r="E980" s="320"/>
      <c r="F980" s="320"/>
      <c r="G980" s="320"/>
      <c r="H980" s="320"/>
      <c r="I980" s="320"/>
      <c r="J980" s="320"/>
      <c r="K980" s="320"/>
      <c r="L980" s="320"/>
      <c r="M980" s="320"/>
      <c r="N980" s="320"/>
      <c r="O980" s="321"/>
      <c r="P980" s="321"/>
      <c r="AB980" s="326"/>
      <c r="AC980" s="326"/>
      <c r="AD980" s="326"/>
      <c r="AG980" s="326"/>
      <c r="AH980" s="326"/>
      <c r="AI980" s="326"/>
      <c r="AL980" s="326"/>
    </row>
    <row r="981" spans="1:40" x14ac:dyDescent="0.15">
      <c r="A981" s="318"/>
      <c r="B981" s="320"/>
      <c r="C981" s="320"/>
      <c r="D981" s="320"/>
      <c r="E981" s="320"/>
      <c r="F981" s="320"/>
      <c r="G981" s="320"/>
      <c r="H981" s="320"/>
      <c r="I981" s="320"/>
      <c r="J981" s="320"/>
      <c r="K981" s="320"/>
      <c r="L981" s="320"/>
      <c r="M981" s="320"/>
      <c r="N981" s="320"/>
      <c r="O981" s="321"/>
      <c r="P981" s="321"/>
      <c r="AB981" s="326"/>
      <c r="AC981" s="326"/>
      <c r="AD981" s="326"/>
      <c r="AG981" s="326"/>
      <c r="AH981" s="326"/>
      <c r="AI981" s="326"/>
      <c r="AL981" s="326"/>
      <c r="AM981" s="326"/>
    </row>
    <row r="982" spans="1:40" x14ac:dyDescent="0.15">
      <c r="A982" s="318"/>
      <c r="B982" s="320"/>
      <c r="C982" s="320"/>
      <c r="D982" s="320"/>
      <c r="E982" s="320"/>
      <c r="F982" s="320"/>
      <c r="G982" s="320"/>
      <c r="H982" s="320"/>
      <c r="I982" s="320"/>
      <c r="J982" s="320"/>
      <c r="K982" s="320"/>
      <c r="L982" s="320"/>
      <c r="M982" s="320"/>
      <c r="N982" s="320"/>
      <c r="O982" s="321"/>
      <c r="P982" s="321"/>
      <c r="AB982" s="326"/>
      <c r="AC982" s="326"/>
      <c r="AD982" s="326"/>
      <c r="AG982" s="326"/>
      <c r="AH982" s="326"/>
      <c r="AI982" s="326"/>
      <c r="AL982" s="326"/>
      <c r="AM982" s="326"/>
    </row>
    <row r="983" spans="1:40" x14ac:dyDescent="0.15">
      <c r="A983" s="318"/>
      <c r="B983" s="320"/>
      <c r="C983" s="320"/>
      <c r="D983" s="320"/>
      <c r="E983" s="320"/>
      <c r="F983" s="320"/>
      <c r="G983" s="320"/>
      <c r="H983" s="320"/>
      <c r="I983" s="320"/>
      <c r="J983" s="320"/>
      <c r="K983" s="320"/>
      <c r="L983" s="320"/>
      <c r="M983" s="320"/>
      <c r="N983" s="320"/>
      <c r="O983" s="321"/>
      <c r="P983" s="321"/>
      <c r="AB983" s="326"/>
      <c r="AC983" s="326"/>
      <c r="AD983" s="326"/>
      <c r="AG983" s="326"/>
      <c r="AH983" s="326"/>
      <c r="AI983" s="326"/>
      <c r="AL983" s="326"/>
      <c r="AM983" s="326"/>
    </row>
    <row r="984" spans="1:40" x14ac:dyDescent="0.15">
      <c r="A984" s="318"/>
      <c r="B984" s="320"/>
      <c r="C984" s="320"/>
      <c r="D984" s="320"/>
      <c r="E984" s="320"/>
      <c r="F984" s="320"/>
      <c r="G984" s="320"/>
      <c r="H984" s="320"/>
      <c r="I984" s="320"/>
      <c r="J984" s="320"/>
      <c r="K984" s="320"/>
      <c r="L984" s="320"/>
      <c r="M984" s="320"/>
      <c r="N984" s="320"/>
      <c r="O984" s="321"/>
      <c r="P984" s="321"/>
      <c r="AB984" s="326"/>
      <c r="AC984" s="326"/>
      <c r="AD984" s="326"/>
      <c r="AG984" s="326"/>
      <c r="AH984" s="326"/>
      <c r="AI984" s="326"/>
      <c r="AL984" s="326"/>
      <c r="AM984" s="326"/>
    </row>
    <row r="985" spans="1:40" x14ac:dyDescent="0.15">
      <c r="A985" s="318"/>
      <c r="B985" s="320"/>
      <c r="C985" s="320"/>
      <c r="D985" s="320"/>
      <c r="E985" s="320"/>
      <c r="F985" s="320"/>
      <c r="G985" s="320"/>
      <c r="H985" s="320"/>
      <c r="I985" s="320"/>
      <c r="J985" s="320"/>
      <c r="K985" s="320"/>
      <c r="L985" s="320"/>
      <c r="M985" s="320"/>
      <c r="N985" s="320"/>
      <c r="O985" s="321"/>
      <c r="P985" s="321"/>
      <c r="Y985" s="326"/>
      <c r="AB985" s="326"/>
      <c r="AC985" s="326"/>
      <c r="AD985" s="326"/>
      <c r="AG985" s="326"/>
      <c r="AH985" s="326"/>
      <c r="AI985" s="326"/>
      <c r="AL985" s="326"/>
      <c r="AM985" s="326"/>
    </row>
    <row r="986" spans="1:40" x14ac:dyDescent="0.15">
      <c r="A986" s="318"/>
      <c r="B986" s="320"/>
      <c r="C986" s="320"/>
      <c r="D986" s="320"/>
      <c r="E986" s="320"/>
      <c r="F986" s="320"/>
      <c r="G986" s="320"/>
      <c r="H986" s="320"/>
      <c r="I986" s="320"/>
      <c r="J986" s="320"/>
      <c r="K986" s="320"/>
      <c r="L986" s="320"/>
      <c r="M986" s="320"/>
      <c r="N986" s="320"/>
      <c r="O986" s="321"/>
      <c r="P986" s="321"/>
      <c r="Y986" s="326"/>
      <c r="AB986" s="326"/>
      <c r="AC986" s="326"/>
      <c r="AD986" s="326"/>
      <c r="AG986" s="326"/>
      <c r="AH986" s="326"/>
      <c r="AI986" s="326"/>
      <c r="AL986" s="326"/>
      <c r="AM986" s="326"/>
    </row>
    <row r="987" spans="1:40" x14ac:dyDescent="0.15">
      <c r="A987" s="318"/>
      <c r="B987" s="320"/>
      <c r="C987" s="320"/>
      <c r="D987" s="320"/>
      <c r="E987" s="320"/>
      <c r="F987" s="320"/>
      <c r="G987" s="320"/>
      <c r="H987" s="320"/>
      <c r="I987" s="320"/>
      <c r="J987" s="320"/>
      <c r="K987" s="320"/>
      <c r="L987" s="320"/>
      <c r="M987" s="320"/>
      <c r="N987" s="320"/>
      <c r="O987" s="321"/>
      <c r="P987" s="321"/>
      <c r="Y987" s="326"/>
      <c r="AB987" s="326"/>
      <c r="AC987" s="326"/>
      <c r="AD987" s="326"/>
      <c r="AG987" s="326"/>
      <c r="AH987" s="326"/>
      <c r="AI987" s="326"/>
      <c r="AL987" s="326"/>
      <c r="AM987" s="326"/>
    </row>
    <row r="988" spans="1:40" x14ac:dyDescent="0.15">
      <c r="A988" s="318"/>
      <c r="B988" s="320"/>
      <c r="C988" s="320"/>
      <c r="D988" s="320"/>
      <c r="E988" s="320"/>
      <c r="F988" s="320"/>
      <c r="G988" s="320"/>
      <c r="H988" s="320"/>
      <c r="I988" s="320"/>
      <c r="J988" s="320"/>
      <c r="K988" s="320"/>
      <c r="L988" s="320"/>
      <c r="M988" s="320"/>
      <c r="N988" s="320"/>
      <c r="O988" s="321"/>
      <c r="P988" s="321"/>
      <c r="Y988" s="326"/>
      <c r="AB988" s="326"/>
      <c r="AC988" s="326"/>
      <c r="AD988" s="326"/>
      <c r="AG988" s="326"/>
      <c r="AH988" s="326"/>
      <c r="AI988" s="326"/>
      <c r="AL988" s="326"/>
      <c r="AM988" s="326"/>
    </row>
    <row r="989" spans="1:40" x14ac:dyDescent="0.15">
      <c r="A989" s="318"/>
      <c r="B989" s="320"/>
      <c r="C989" s="320"/>
      <c r="D989" s="320"/>
      <c r="E989" s="320"/>
      <c r="F989" s="320"/>
      <c r="G989" s="320"/>
      <c r="H989" s="320"/>
      <c r="I989" s="320"/>
      <c r="J989" s="320"/>
      <c r="K989" s="320"/>
      <c r="L989" s="320"/>
      <c r="M989" s="320"/>
      <c r="N989" s="320"/>
      <c r="O989" s="321"/>
      <c r="P989" s="321"/>
      <c r="Y989" s="326"/>
      <c r="AB989" s="326"/>
      <c r="AC989" s="326"/>
      <c r="AD989" s="326"/>
      <c r="AG989" s="326"/>
      <c r="AH989" s="326"/>
      <c r="AI989" s="326"/>
      <c r="AL989" s="326"/>
      <c r="AM989" s="326"/>
    </row>
    <row r="990" spans="1:40" x14ac:dyDescent="0.15">
      <c r="A990" s="318"/>
      <c r="B990" s="320"/>
      <c r="C990" s="320"/>
      <c r="D990" s="320"/>
      <c r="E990" s="320"/>
      <c r="F990" s="320"/>
      <c r="G990" s="320"/>
      <c r="H990" s="320"/>
      <c r="I990" s="320"/>
      <c r="J990" s="320"/>
      <c r="K990" s="320"/>
      <c r="L990" s="320"/>
      <c r="M990" s="320"/>
      <c r="N990" s="320"/>
      <c r="O990" s="321"/>
      <c r="P990" s="321"/>
      <c r="Y990" s="326"/>
      <c r="AB990" s="326"/>
      <c r="AC990" s="326"/>
      <c r="AD990" s="326"/>
      <c r="AG990" s="326"/>
      <c r="AH990" s="326"/>
      <c r="AI990" s="326"/>
      <c r="AL990" s="326"/>
      <c r="AM990" s="326"/>
    </row>
    <row r="991" spans="1:40" x14ac:dyDescent="0.15">
      <c r="A991" s="318"/>
      <c r="B991" s="320"/>
      <c r="C991" s="320"/>
      <c r="D991" s="320"/>
      <c r="E991" s="320"/>
      <c r="F991" s="320"/>
      <c r="G991" s="320"/>
      <c r="H991" s="320"/>
      <c r="I991" s="320"/>
      <c r="J991" s="320"/>
      <c r="K991" s="320"/>
      <c r="L991" s="320"/>
      <c r="M991" s="320"/>
      <c r="N991" s="320"/>
      <c r="O991" s="321"/>
      <c r="P991" s="321"/>
      <c r="Y991" s="326"/>
      <c r="AB991" s="326"/>
      <c r="AC991" s="326"/>
      <c r="AD991" s="326"/>
      <c r="AG991" s="326"/>
      <c r="AH991" s="326"/>
      <c r="AI991" s="326"/>
      <c r="AL991" s="326"/>
      <c r="AM991" s="326"/>
    </row>
    <row r="992" spans="1:40" x14ac:dyDescent="0.15">
      <c r="A992" s="318"/>
      <c r="B992" s="320"/>
      <c r="C992" s="320"/>
      <c r="D992" s="320"/>
      <c r="E992" s="320"/>
      <c r="F992" s="320"/>
      <c r="G992" s="320"/>
      <c r="H992" s="320"/>
      <c r="I992" s="320"/>
      <c r="J992" s="320"/>
      <c r="K992" s="320"/>
      <c r="L992" s="320"/>
      <c r="M992" s="320"/>
      <c r="N992" s="320"/>
      <c r="O992" s="321"/>
      <c r="P992" s="321"/>
      <c r="Y992" s="326"/>
      <c r="AB992" s="326"/>
      <c r="AC992" s="326"/>
      <c r="AD992" s="326"/>
      <c r="AG992" s="326"/>
      <c r="AH992" s="326"/>
      <c r="AI992" s="326"/>
      <c r="AL992" s="326"/>
      <c r="AM992" s="326"/>
    </row>
    <row r="993" spans="1:39" x14ac:dyDescent="0.15">
      <c r="A993" s="318"/>
      <c r="B993" s="320"/>
      <c r="C993" s="320"/>
      <c r="D993" s="320"/>
      <c r="E993" s="320"/>
      <c r="F993" s="320"/>
      <c r="G993" s="320"/>
      <c r="H993" s="320"/>
      <c r="I993" s="320"/>
      <c r="J993" s="320"/>
      <c r="K993" s="320"/>
      <c r="L993" s="320"/>
      <c r="M993" s="320"/>
      <c r="N993" s="320"/>
      <c r="O993" s="321"/>
      <c r="P993" s="321"/>
      <c r="Y993" s="326"/>
      <c r="AB993" s="326"/>
      <c r="AC993" s="326"/>
      <c r="AD993" s="326"/>
      <c r="AG993" s="326"/>
      <c r="AH993" s="326"/>
      <c r="AI993" s="326"/>
      <c r="AL993" s="326"/>
      <c r="AM993" s="326"/>
    </row>
    <row r="994" spans="1:39" x14ac:dyDescent="0.15">
      <c r="A994" s="318"/>
      <c r="B994" s="320"/>
      <c r="C994" s="320"/>
      <c r="D994" s="320"/>
      <c r="E994" s="320"/>
      <c r="F994" s="320"/>
      <c r="G994" s="320"/>
      <c r="H994" s="320"/>
      <c r="I994" s="320"/>
      <c r="J994" s="320"/>
      <c r="K994" s="320"/>
      <c r="L994" s="320"/>
      <c r="M994" s="320"/>
      <c r="N994" s="320"/>
      <c r="O994" s="321"/>
      <c r="P994" s="321"/>
      <c r="Y994" s="326"/>
      <c r="AB994" s="326"/>
      <c r="AC994" s="326"/>
      <c r="AD994" s="326"/>
      <c r="AG994" s="326"/>
      <c r="AH994" s="326"/>
      <c r="AI994" s="326"/>
      <c r="AL994" s="326"/>
      <c r="AM994" s="326"/>
    </row>
    <row r="995" spans="1:39" x14ac:dyDescent="0.15">
      <c r="A995" s="318"/>
      <c r="B995" s="320"/>
      <c r="C995" s="320"/>
      <c r="D995" s="320"/>
      <c r="E995" s="320"/>
      <c r="F995" s="320"/>
      <c r="G995" s="320"/>
      <c r="H995" s="320"/>
      <c r="I995" s="320"/>
      <c r="J995" s="320"/>
      <c r="K995" s="320"/>
      <c r="L995" s="320"/>
      <c r="M995" s="320"/>
      <c r="N995" s="320"/>
      <c r="O995" s="321"/>
      <c r="P995" s="321"/>
      <c r="Y995" s="326"/>
      <c r="AB995" s="326"/>
      <c r="AC995" s="326"/>
      <c r="AD995" s="326"/>
      <c r="AG995" s="326"/>
      <c r="AH995" s="326"/>
      <c r="AI995" s="326"/>
      <c r="AL995" s="326"/>
      <c r="AM995" s="326"/>
    </row>
    <row r="996" spans="1:39" x14ac:dyDescent="0.15">
      <c r="A996" s="318"/>
      <c r="B996" s="320"/>
      <c r="C996" s="320"/>
      <c r="D996" s="320"/>
      <c r="E996" s="320"/>
      <c r="F996" s="320"/>
      <c r="G996" s="320"/>
      <c r="H996" s="320"/>
      <c r="I996" s="320"/>
      <c r="J996" s="320"/>
      <c r="K996" s="320"/>
      <c r="L996" s="320"/>
      <c r="M996" s="320"/>
      <c r="N996" s="320"/>
      <c r="O996" s="321"/>
      <c r="P996" s="321"/>
      <c r="Y996" s="326"/>
      <c r="AB996" s="326"/>
      <c r="AC996" s="326"/>
      <c r="AD996" s="326"/>
      <c r="AG996" s="326"/>
      <c r="AH996" s="326"/>
      <c r="AI996" s="326"/>
      <c r="AL996" s="326"/>
      <c r="AM996" s="326"/>
    </row>
    <row r="997" spans="1:39" x14ac:dyDescent="0.15">
      <c r="A997" s="318"/>
      <c r="B997" s="320"/>
      <c r="C997" s="320"/>
      <c r="D997" s="320"/>
      <c r="E997" s="320"/>
      <c r="F997" s="320"/>
      <c r="G997" s="320"/>
      <c r="H997" s="320"/>
      <c r="I997" s="320"/>
      <c r="J997" s="320"/>
      <c r="K997" s="320"/>
      <c r="L997" s="320"/>
      <c r="M997" s="320"/>
      <c r="N997" s="320"/>
      <c r="O997" s="321"/>
      <c r="P997" s="321"/>
      <c r="Y997" s="326"/>
      <c r="AB997" s="326"/>
      <c r="AC997" s="326"/>
      <c r="AD997" s="326"/>
      <c r="AG997" s="326"/>
      <c r="AH997" s="326"/>
      <c r="AI997" s="326"/>
      <c r="AL997" s="326"/>
      <c r="AM997" s="326"/>
    </row>
    <row r="998" spans="1:39" x14ac:dyDescent="0.15">
      <c r="A998" s="318"/>
      <c r="B998" s="320"/>
      <c r="C998" s="320"/>
      <c r="D998" s="320"/>
      <c r="E998" s="320"/>
      <c r="F998" s="320"/>
      <c r="G998" s="320"/>
      <c r="H998" s="320"/>
      <c r="I998" s="320"/>
      <c r="J998" s="320"/>
      <c r="K998" s="320"/>
      <c r="L998" s="320"/>
      <c r="M998" s="320"/>
      <c r="N998" s="320"/>
      <c r="O998" s="321"/>
      <c r="P998" s="321"/>
      <c r="Y998" s="326"/>
      <c r="AB998" s="326"/>
      <c r="AC998" s="326"/>
      <c r="AD998" s="326"/>
      <c r="AG998" s="326"/>
      <c r="AH998" s="326"/>
      <c r="AI998" s="326"/>
      <c r="AL998" s="326"/>
      <c r="AM998" s="326"/>
    </row>
    <row r="999" spans="1:39" x14ac:dyDescent="0.15">
      <c r="A999" s="327"/>
      <c r="B999" s="320"/>
      <c r="C999" s="320"/>
      <c r="D999" s="320"/>
      <c r="E999" s="320"/>
      <c r="F999" s="320"/>
      <c r="G999" s="320"/>
      <c r="H999" s="320"/>
      <c r="I999" s="320"/>
      <c r="J999" s="320"/>
      <c r="K999" s="320"/>
      <c r="L999" s="320"/>
      <c r="M999" s="320"/>
      <c r="N999" s="320"/>
      <c r="O999" s="321"/>
      <c r="P999" s="321"/>
      <c r="Y999" s="326"/>
      <c r="AB999" s="326"/>
      <c r="AC999" s="326"/>
      <c r="AD999" s="326"/>
      <c r="AG999" s="326"/>
      <c r="AH999" s="326"/>
      <c r="AI999" s="326"/>
      <c r="AL999" s="326"/>
      <c r="AM999" s="326"/>
    </row>
    <row r="1000" spans="1:39" x14ac:dyDescent="0.15">
      <c r="A1000" s="327"/>
      <c r="B1000" s="320"/>
      <c r="C1000" s="320"/>
      <c r="D1000" s="320"/>
      <c r="E1000" s="320"/>
      <c r="F1000" s="320"/>
      <c r="G1000" s="320"/>
      <c r="H1000" s="320"/>
      <c r="I1000" s="320"/>
      <c r="J1000" s="320"/>
      <c r="K1000" s="320"/>
      <c r="L1000" s="320"/>
      <c r="M1000" s="320"/>
      <c r="N1000" s="320"/>
      <c r="O1000" s="321"/>
      <c r="P1000" s="321"/>
      <c r="Y1000" s="326"/>
      <c r="AB1000" s="326"/>
      <c r="AC1000" s="326"/>
      <c r="AD1000" s="326"/>
      <c r="AG1000" s="326"/>
      <c r="AH1000" s="326"/>
      <c r="AI1000" s="326"/>
      <c r="AL1000" s="326"/>
      <c r="AM1000" s="326"/>
    </row>
    <row r="1001" spans="1:39" x14ac:dyDescent="0.15">
      <c r="A1001" s="327"/>
      <c r="B1001" s="320"/>
      <c r="C1001" s="320"/>
      <c r="D1001" s="320"/>
      <c r="E1001" s="320"/>
      <c r="F1001" s="320"/>
      <c r="G1001" s="320"/>
      <c r="H1001" s="320"/>
      <c r="I1001" s="320"/>
      <c r="J1001" s="320"/>
      <c r="K1001" s="320"/>
      <c r="L1001" s="320"/>
      <c r="M1001" s="320"/>
      <c r="N1001" s="320"/>
      <c r="O1001" s="321"/>
      <c r="P1001" s="321"/>
      <c r="Y1001" s="326"/>
      <c r="AB1001" s="326"/>
      <c r="AC1001" s="326"/>
      <c r="AD1001" s="326"/>
      <c r="AG1001" s="326"/>
      <c r="AH1001" s="326"/>
      <c r="AI1001" s="326"/>
      <c r="AL1001" s="326"/>
      <c r="AM1001" s="326"/>
    </row>
    <row r="1002" spans="1:39" x14ac:dyDescent="0.15">
      <c r="A1002" s="327"/>
      <c r="B1002" s="320"/>
      <c r="C1002" s="320"/>
      <c r="D1002" s="320"/>
      <c r="E1002" s="320"/>
      <c r="F1002" s="320"/>
      <c r="G1002" s="320"/>
      <c r="H1002" s="320"/>
      <c r="I1002" s="320"/>
      <c r="J1002" s="320"/>
      <c r="K1002" s="320"/>
      <c r="L1002" s="320"/>
      <c r="M1002" s="320"/>
      <c r="N1002" s="320"/>
      <c r="O1002" s="321"/>
      <c r="P1002" s="321"/>
      <c r="Y1002" s="326"/>
      <c r="AB1002" s="326"/>
      <c r="AC1002" s="326"/>
      <c r="AD1002" s="326"/>
      <c r="AG1002" s="326"/>
      <c r="AH1002" s="326"/>
      <c r="AI1002" s="326"/>
      <c r="AL1002" s="326"/>
      <c r="AM1002" s="326"/>
    </row>
    <row r="1003" spans="1:39" x14ac:dyDescent="0.15">
      <c r="A1003" s="327"/>
      <c r="B1003" s="320"/>
      <c r="C1003" s="320"/>
      <c r="D1003" s="320"/>
      <c r="E1003" s="320"/>
      <c r="F1003" s="320"/>
      <c r="G1003" s="320"/>
      <c r="H1003" s="320"/>
      <c r="I1003" s="320"/>
      <c r="J1003" s="320"/>
      <c r="K1003" s="320"/>
      <c r="L1003" s="320"/>
      <c r="M1003" s="320"/>
      <c r="N1003" s="320"/>
      <c r="O1003" s="321"/>
      <c r="P1003" s="321"/>
      <c r="Y1003" s="326"/>
      <c r="AB1003" s="326"/>
      <c r="AC1003" s="326"/>
      <c r="AD1003" s="326"/>
      <c r="AG1003" s="326"/>
      <c r="AH1003" s="326"/>
      <c r="AI1003" s="326"/>
      <c r="AL1003" s="326"/>
      <c r="AM1003" s="326"/>
    </row>
    <row r="1004" spans="1:39" x14ac:dyDescent="0.15">
      <c r="A1004" s="327"/>
      <c r="B1004" s="320"/>
      <c r="C1004" s="320"/>
      <c r="D1004" s="320"/>
      <c r="E1004" s="320"/>
      <c r="F1004" s="320"/>
      <c r="G1004" s="320"/>
      <c r="H1004" s="320"/>
      <c r="I1004" s="320"/>
      <c r="J1004" s="320"/>
      <c r="K1004" s="320"/>
      <c r="L1004" s="320"/>
      <c r="M1004" s="320"/>
      <c r="N1004" s="320"/>
      <c r="O1004" s="321"/>
      <c r="P1004" s="321"/>
      <c r="Y1004" s="326"/>
      <c r="AB1004" s="326"/>
      <c r="AC1004" s="326"/>
      <c r="AD1004" s="326"/>
      <c r="AG1004" s="326"/>
      <c r="AH1004" s="326"/>
      <c r="AI1004" s="326"/>
      <c r="AL1004" s="326"/>
      <c r="AM1004" s="326"/>
    </row>
    <row r="1005" spans="1:39" x14ac:dyDescent="0.15">
      <c r="A1005" s="327"/>
      <c r="B1005" s="320"/>
      <c r="C1005" s="320"/>
      <c r="D1005" s="320"/>
      <c r="E1005" s="320"/>
      <c r="F1005" s="320"/>
      <c r="G1005" s="320"/>
      <c r="H1005" s="320"/>
      <c r="I1005" s="320"/>
      <c r="J1005" s="320"/>
      <c r="K1005" s="320"/>
      <c r="L1005" s="320"/>
      <c r="M1005" s="320"/>
      <c r="N1005" s="320"/>
      <c r="O1005" s="321"/>
      <c r="P1005" s="321"/>
      <c r="Y1005" s="326"/>
      <c r="AB1005" s="326"/>
      <c r="AC1005" s="326"/>
      <c r="AD1005" s="326"/>
      <c r="AG1005" s="326"/>
      <c r="AH1005" s="326"/>
      <c r="AI1005" s="326"/>
      <c r="AL1005" s="326"/>
      <c r="AM1005" s="326"/>
    </row>
    <row r="1006" spans="1:39" x14ac:dyDescent="0.15">
      <c r="A1006" s="327"/>
      <c r="B1006" s="320"/>
      <c r="C1006" s="320"/>
      <c r="D1006" s="320"/>
      <c r="E1006" s="320"/>
      <c r="F1006" s="320"/>
      <c r="G1006" s="320"/>
      <c r="H1006" s="320"/>
      <c r="I1006" s="320"/>
      <c r="J1006" s="320"/>
      <c r="K1006" s="320"/>
      <c r="L1006" s="320"/>
      <c r="M1006" s="320"/>
      <c r="N1006" s="320"/>
      <c r="O1006" s="321"/>
      <c r="P1006" s="321"/>
      <c r="Y1006" s="326"/>
      <c r="AB1006" s="326"/>
      <c r="AC1006" s="326"/>
      <c r="AD1006" s="326"/>
      <c r="AG1006" s="326"/>
      <c r="AH1006" s="326"/>
      <c r="AI1006" s="326"/>
      <c r="AL1006" s="326"/>
      <c r="AM1006" s="326"/>
    </row>
    <row r="1007" spans="1:39" x14ac:dyDescent="0.15">
      <c r="A1007" s="327"/>
      <c r="B1007" s="320"/>
      <c r="C1007" s="320"/>
      <c r="D1007" s="320"/>
      <c r="E1007" s="320"/>
      <c r="F1007" s="320"/>
      <c r="G1007" s="320"/>
      <c r="H1007" s="320"/>
      <c r="I1007" s="320"/>
      <c r="J1007" s="320"/>
      <c r="K1007" s="320"/>
      <c r="L1007" s="320"/>
      <c r="M1007" s="320"/>
      <c r="N1007" s="320"/>
      <c r="O1007" s="321"/>
      <c r="P1007" s="321"/>
      <c r="Y1007" s="326"/>
      <c r="AB1007" s="326"/>
      <c r="AC1007" s="326"/>
      <c r="AD1007" s="326"/>
      <c r="AG1007" s="326"/>
      <c r="AH1007" s="326"/>
      <c r="AI1007" s="326"/>
      <c r="AL1007" s="326"/>
      <c r="AM1007" s="326"/>
    </row>
    <row r="1008" spans="1:39" x14ac:dyDescent="0.15">
      <c r="A1008" s="327"/>
      <c r="B1008" s="320"/>
      <c r="C1008" s="320"/>
      <c r="D1008" s="320"/>
      <c r="E1008" s="320"/>
      <c r="F1008" s="320"/>
      <c r="G1008" s="320"/>
      <c r="H1008" s="320"/>
      <c r="I1008" s="320"/>
      <c r="J1008" s="320"/>
      <c r="K1008" s="320"/>
      <c r="L1008" s="320"/>
      <c r="M1008" s="320"/>
      <c r="N1008" s="320"/>
      <c r="O1008" s="321"/>
      <c r="P1008" s="321"/>
      <c r="Y1008" s="326"/>
      <c r="AB1008" s="326"/>
      <c r="AC1008" s="326"/>
      <c r="AD1008" s="326"/>
      <c r="AG1008" s="326"/>
      <c r="AH1008" s="326"/>
      <c r="AI1008" s="326"/>
      <c r="AL1008" s="326"/>
      <c r="AM1008" s="326"/>
    </row>
    <row r="1009" spans="1:39" x14ac:dyDescent="0.15">
      <c r="A1009" s="327"/>
      <c r="B1009" s="320"/>
      <c r="C1009" s="320"/>
      <c r="D1009" s="320"/>
      <c r="E1009" s="320"/>
      <c r="F1009" s="320"/>
      <c r="G1009" s="320"/>
      <c r="H1009" s="320"/>
      <c r="I1009" s="320"/>
      <c r="J1009" s="320"/>
      <c r="K1009" s="320"/>
      <c r="L1009" s="320"/>
      <c r="M1009" s="320"/>
      <c r="N1009" s="320"/>
      <c r="O1009" s="321"/>
      <c r="P1009" s="321"/>
      <c r="Y1009" s="326"/>
      <c r="AB1009" s="326"/>
      <c r="AC1009" s="326"/>
      <c r="AD1009" s="326"/>
      <c r="AG1009" s="326"/>
      <c r="AH1009" s="326"/>
      <c r="AI1009" s="326"/>
      <c r="AL1009" s="326"/>
      <c r="AM1009" s="326"/>
    </row>
    <row r="1010" spans="1:39" x14ac:dyDescent="0.15">
      <c r="A1010" s="327"/>
      <c r="B1010" s="320"/>
      <c r="C1010" s="320"/>
      <c r="D1010" s="320"/>
      <c r="E1010" s="320"/>
      <c r="F1010" s="320"/>
      <c r="G1010" s="320"/>
      <c r="H1010" s="320"/>
      <c r="I1010" s="320"/>
      <c r="J1010" s="320"/>
      <c r="K1010" s="320"/>
      <c r="L1010" s="320"/>
      <c r="M1010" s="320"/>
      <c r="N1010" s="320"/>
      <c r="O1010" s="321"/>
      <c r="P1010" s="321"/>
      <c r="Y1010" s="326"/>
      <c r="AB1010" s="326"/>
      <c r="AC1010" s="326"/>
      <c r="AD1010" s="326"/>
      <c r="AG1010" s="326"/>
      <c r="AH1010" s="326"/>
      <c r="AI1010" s="326"/>
      <c r="AL1010" s="326"/>
      <c r="AM1010" s="326"/>
    </row>
    <row r="1011" spans="1:39" x14ac:dyDescent="0.15">
      <c r="A1011" s="327"/>
      <c r="B1011" s="320"/>
      <c r="C1011" s="320"/>
      <c r="D1011" s="320"/>
      <c r="E1011" s="320"/>
      <c r="F1011" s="320"/>
      <c r="G1011" s="320"/>
      <c r="H1011" s="320"/>
      <c r="I1011" s="320"/>
      <c r="J1011" s="320"/>
      <c r="K1011" s="320"/>
      <c r="L1011" s="320"/>
      <c r="M1011" s="320"/>
      <c r="N1011" s="320"/>
      <c r="O1011" s="321"/>
      <c r="P1011" s="321"/>
      <c r="Y1011" s="326"/>
      <c r="AB1011" s="326"/>
      <c r="AC1011" s="326"/>
      <c r="AD1011" s="326"/>
      <c r="AG1011" s="326"/>
      <c r="AH1011" s="326"/>
      <c r="AI1011" s="326"/>
      <c r="AL1011" s="326"/>
      <c r="AM1011" s="326"/>
    </row>
    <row r="1012" spans="1:39" x14ac:dyDescent="0.15">
      <c r="A1012" s="327"/>
      <c r="B1012" s="320"/>
      <c r="C1012" s="320"/>
      <c r="D1012" s="320"/>
      <c r="E1012" s="320"/>
      <c r="F1012" s="320"/>
      <c r="G1012" s="320"/>
      <c r="H1012" s="320"/>
      <c r="I1012" s="320"/>
      <c r="J1012" s="320"/>
      <c r="K1012" s="320"/>
      <c r="L1012" s="320"/>
      <c r="M1012" s="320"/>
      <c r="N1012" s="320"/>
      <c r="O1012" s="321"/>
      <c r="P1012" s="321"/>
      <c r="Y1012" s="326"/>
      <c r="AB1012" s="326"/>
      <c r="AC1012" s="326"/>
      <c r="AD1012" s="326"/>
      <c r="AG1012" s="326"/>
      <c r="AH1012" s="326"/>
      <c r="AI1012" s="326"/>
      <c r="AL1012" s="326"/>
      <c r="AM1012" s="326"/>
    </row>
    <row r="1013" spans="1:39" x14ac:dyDescent="0.15">
      <c r="A1013" s="327"/>
      <c r="B1013" s="320"/>
      <c r="C1013" s="320"/>
      <c r="D1013" s="320"/>
      <c r="E1013" s="320"/>
      <c r="F1013" s="320"/>
      <c r="G1013" s="320"/>
      <c r="H1013" s="320"/>
      <c r="I1013" s="320"/>
      <c r="J1013" s="320"/>
      <c r="K1013" s="320"/>
      <c r="L1013" s="320"/>
      <c r="M1013" s="320"/>
      <c r="N1013" s="320"/>
      <c r="O1013" s="321"/>
      <c r="P1013" s="321"/>
      <c r="Y1013" s="326"/>
      <c r="AB1013" s="326"/>
      <c r="AC1013" s="326"/>
      <c r="AD1013" s="326"/>
      <c r="AG1013" s="326"/>
      <c r="AH1013" s="326"/>
      <c r="AI1013" s="326"/>
      <c r="AL1013" s="326"/>
      <c r="AM1013" s="326"/>
    </row>
    <row r="1014" spans="1:39" x14ac:dyDescent="0.15">
      <c r="A1014" s="327"/>
      <c r="B1014" s="320"/>
      <c r="C1014" s="320"/>
      <c r="D1014" s="320"/>
      <c r="E1014" s="320"/>
      <c r="F1014" s="320"/>
      <c r="G1014" s="320"/>
      <c r="H1014" s="320"/>
      <c r="I1014" s="320"/>
      <c r="J1014" s="320"/>
      <c r="K1014" s="320"/>
      <c r="L1014" s="320"/>
      <c r="M1014" s="320"/>
      <c r="N1014" s="320"/>
      <c r="O1014" s="321"/>
      <c r="P1014" s="321"/>
      <c r="Y1014" s="326"/>
      <c r="AB1014" s="326"/>
      <c r="AC1014" s="326"/>
      <c r="AD1014" s="326"/>
      <c r="AG1014" s="326"/>
      <c r="AH1014" s="326"/>
      <c r="AI1014" s="326"/>
      <c r="AL1014" s="326"/>
      <c r="AM1014" s="326"/>
    </row>
    <row r="1015" spans="1:39" x14ac:dyDescent="0.15">
      <c r="A1015" s="327"/>
      <c r="B1015" s="320"/>
      <c r="C1015" s="320"/>
      <c r="D1015" s="320"/>
      <c r="E1015" s="320"/>
      <c r="F1015" s="320"/>
      <c r="G1015" s="320"/>
      <c r="H1015" s="320"/>
      <c r="I1015" s="320"/>
      <c r="J1015" s="320"/>
      <c r="K1015" s="320"/>
      <c r="L1015" s="320"/>
      <c r="M1015" s="320"/>
      <c r="N1015" s="320"/>
      <c r="O1015" s="321"/>
      <c r="P1015" s="321"/>
      <c r="Y1015" s="326"/>
      <c r="AB1015" s="326"/>
      <c r="AC1015" s="326"/>
      <c r="AD1015" s="326"/>
      <c r="AG1015" s="326"/>
      <c r="AH1015" s="326"/>
      <c r="AI1015" s="326"/>
      <c r="AL1015" s="326"/>
      <c r="AM1015" s="326"/>
    </row>
    <row r="1016" spans="1:39" x14ac:dyDescent="0.15">
      <c r="A1016" s="327"/>
      <c r="B1016" s="320"/>
      <c r="C1016" s="320"/>
      <c r="D1016" s="320"/>
      <c r="E1016" s="320"/>
      <c r="F1016" s="320"/>
      <c r="G1016" s="320"/>
      <c r="H1016" s="320"/>
      <c r="I1016" s="320"/>
      <c r="J1016" s="320"/>
      <c r="K1016" s="320"/>
      <c r="L1016" s="320"/>
      <c r="M1016" s="320"/>
      <c r="N1016" s="320"/>
      <c r="O1016" s="321"/>
      <c r="P1016" s="321"/>
      <c r="Y1016" s="326"/>
      <c r="AB1016" s="326"/>
      <c r="AC1016" s="326"/>
      <c r="AD1016" s="326"/>
      <c r="AG1016" s="326"/>
      <c r="AH1016" s="326"/>
      <c r="AI1016" s="326"/>
      <c r="AL1016" s="326"/>
      <c r="AM1016" s="326"/>
    </row>
    <row r="1017" spans="1:39" x14ac:dyDescent="0.15">
      <c r="A1017" s="327"/>
      <c r="B1017" s="320"/>
      <c r="C1017" s="320"/>
      <c r="D1017" s="320"/>
      <c r="E1017" s="320"/>
      <c r="F1017" s="320"/>
      <c r="G1017" s="320"/>
      <c r="H1017" s="320"/>
      <c r="I1017" s="320"/>
      <c r="J1017" s="320"/>
      <c r="K1017" s="320"/>
      <c r="L1017" s="320"/>
      <c r="M1017" s="320"/>
      <c r="N1017" s="320"/>
      <c r="O1017" s="321"/>
      <c r="P1017" s="321"/>
      <c r="Y1017" s="326"/>
      <c r="AB1017" s="326"/>
      <c r="AC1017" s="326"/>
      <c r="AD1017" s="326"/>
      <c r="AG1017" s="326"/>
      <c r="AH1017" s="326"/>
      <c r="AI1017" s="326"/>
      <c r="AL1017" s="326"/>
      <c r="AM1017" s="326"/>
    </row>
    <row r="1018" spans="1:39" x14ac:dyDescent="0.15">
      <c r="A1018" s="327"/>
      <c r="B1018" s="320"/>
      <c r="C1018" s="320"/>
      <c r="D1018" s="320"/>
      <c r="E1018" s="320"/>
      <c r="F1018" s="320"/>
      <c r="G1018" s="320"/>
      <c r="H1018" s="320"/>
      <c r="I1018" s="320"/>
      <c r="J1018" s="320"/>
      <c r="K1018" s="320"/>
      <c r="L1018" s="320"/>
      <c r="M1018" s="320"/>
      <c r="N1018" s="320"/>
      <c r="O1018" s="321"/>
      <c r="P1018" s="321"/>
      <c r="Y1018" s="326"/>
      <c r="AB1018" s="326"/>
      <c r="AC1018" s="326"/>
      <c r="AD1018" s="326"/>
      <c r="AG1018" s="326"/>
      <c r="AH1018" s="326"/>
      <c r="AI1018" s="326"/>
      <c r="AL1018" s="326"/>
      <c r="AM1018" s="326"/>
    </row>
    <row r="1019" spans="1:39" x14ac:dyDescent="0.15">
      <c r="A1019" s="327"/>
      <c r="B1019" s="320"/>
      <c r="C1019" s="320"/>
      <c r="D1019" s="320"/>
      <c r="E1019" s="320"/>
      <c r="F1019" s="320"/>
      <c r="G1019" s="320"/>
      <c r="H1019" s="320"/>
      <c r="I1019" s="320"/>
      <c r="J1019" s="320"/>
      <c r="K1019" s="320"/>
      <c r="L1019" s="320"/>
      <c r="M1019" s="320"/>
      <c r="N1019" s="320"/>
      <c r="O1019" s="321"/>
      <c r="P1019" s="321"/>
      <c r="Y1019" s="326"/>
      <c r="AB1019" s="326"/>
      <c r="AC1019" s="326"/>
      <c r="AD1019" s="326"/>
      <c r="AG1019" s="326"/>
      <c r="AH1019" s="326"/>
      <c r="AI1019" s="326"/>
      <c r="AL1019" s="326"/>
      <c r="AM1019" s="326"/>
    </row>
    <row r="1020" spans="1:39" x14ac:dyDescent="0.15">
      <c r="A1020" s="327"/>
      <c r="B1020" s="320"/>
      <c r="C1020" s="320"/>
      <c r="D1020" s="320"/>
      <c r="E1020" s="320"/>
      <c r="F1020" s="320"/>
      <c r="G1020" s="320"/>
      <c r="H1020" s="320"/>
      <c r="I1020" s="320"/>
      <c r="J1020" s="320"/>
      <c r="K1020" s="320"/>
      <c r="L1020" s="320"/>
      <c r="M1020" s="320"/>
      <c r="N1020" s="320"/>
      <c r="O1020" s="321"/>
      <c r="P1020" s="321"/>
      <c r="Y1020" s="326"/>
      <c r="AB1020" s="326"/>
      <c r="AC1020" s="326"/>
      <c r="AD1020" s="326"/>
      <c r="AG1020" s="326"/>
      <c r="AH1020" s="326"/>
      <c r="AI1020" s="326"/>
      <c r="AL1020" s="326"/>
      <c r="AM1020" s="326"/>
    </row>
    <row r="1021" spans="1:39" x14ac:dyDescent="0.15">
      <c r="A1021" s="327"/>
      <c r="B1021" s="320"/>
      <c r="C1021" s="320"/>
      <c r="D1021" s="320"/>
      <c r="E1021" s="320"/>
      <c r="F1021" s="320"/>
      <c r="G1021" s="320"/>
      <c r="H1021" s="320"/>
      <c r="I1021" s="320"/>
      <c r="J1021" s="320"/>
      <c r="K1021" s="320"/>
      <c r="L1021" s="320"/>
      <c r="M1021" s="320"/>
      <c r="N1021" s="320"/>
      <c r="O1021" s="321"/>
      <c r="P1021" s="321"/>
      <c r="Y1021" s="326"/>
      <c r="AB1021" s="326"/>
      <c r="AC1021" s="326"/>
      <c r="AD1021" s="326"/>
      <c r="AG1021" s="326"/>
      <c r="AH1021" s="326"/>
      <c r="AI1021" s="326"/>
      <c r="AL1021" s="326"/>
      <c r="AM1021" s="326"/>
    </row>
    <row r="1022" spans="1:39" x14ac:dyDescent="0.15">
      <c r="A1022" s="327"/>
      <c r="B1022" s="320"/>
      <c r="C1022" s="320"/>
      <c r="D1022" s="320"/>
      <c r="E1022" s="320"/>
      <c r="F1022" s="320"/>
      <c r="G1022" s="320"/>
      <c r="H1022" s="320"/>
      <c r="I1022" s="320"/>
      <c r="J1022" s="320"/>
      <c r="K1022" s="320"/>
      <c r="L1022" s="320"/>
      <c r="M1022" s="320"/>
      <c r="N1022" s="320"/>
      <c r="O1022" s="321"/>
      <c r="P1022" s="321"/>
      <c r="Y1022" s="326"/>
      <c r="AB1022" s="326"/>
      <c r="AC1022" s="326"/>
      <c r="AD1022" s="326"/>
      <c r="AG1022" s="326"/>
      <c r="AH1022" s="326"/>
      <c r="AI1022" s="326"/>
      <c r="AL1022" s="326"/>
      <c r="AM1022" s="326"/>
    </row>
    <row r="1023" spans="1:39" x14ac:dyDescent="0.15">
      <c r="A1023" s="327"/>
      <c r="B1023" s="320"/>
      <c r="C1023" s="320"/>
      <c r="D1023" s="320"/>
      <c r="E1023" s="320"/>
      <c r="F1023" s="320"/>
      <c r="G1023" s="320"/>
      <c r="H1023" s="320"/>
      <c r="I1023" s="320"/>
      <c r="J1023" s="320"/>
      <c r="K1023" s="320"/>
      <c r="L1023" s="320"/>
      <c r="M1023" s="320"/>
      <c r="N1023" s="320"/>
      <c r="O1023" s="321"/>
      <c r="P1023" s="321"/>
      <c r="Y1023" s="326"/>
      <c r="AB1023" s="326"/>
      <c r="AC1023" s="326"/>
      <c r="AD1023" s="326"/>
      <c r="AG1023" s="326"/>
      <c r="AH1023" s="326"/>
      <c r="AI1023" s="326"/>
      <c r="AL1023" s="326"/>
      <c r="AM1023" s="326"/>
    </row>
    <row r="1024" spans="1:39" x14ac:dyDescent="0.15">
      <c r="A1024" s="327"/>
      <c r="B1024" s="320"/>
      <c r="C1024" s="320"/>
      <c r="D1024" s="320"/>
      <c r="E1024" s="320"/>
      <c r="F1024" s="320"/>
      <c r="G1024" s="320"/>
      <c r="H1024" s="320"/>
      <c r="I1024" s="320"/>
      <c r="J1024" s="320"/>
      <c r="K1024" s="320"/>
      <c r="L1024" s="320"/>
      <c r="M1024" s="320"/>
      <c r="N1024" s="320"/>
      <c r="O1024" s="321"/>
      <c r="P1024" s="321"/>
      <c r="Y1024" s="326"/>
      <c r="AB1024" s="326"/>
      <c r="AC1024" s="326"/>
      <c r="AD1024" s="326"/>
      <c r="AG1024" s="326"/>
      <c r="AH1024" s="326"/>
      <c r="AI1024" s="326"/>
      <c r="AL1024" s="326"/>
      <c r="AM1024" s="326"/>
    </row>
    <row r="1025" spans="1:39" x14ac:dyDescent="0.15">
      <c r="A1025" s="327"/>
      <c r="B1025" s="320"/>
      <c r="C1025" s="320"/>
      <c r="D1025" s="320"/>
      <c r="E1025" s="320"/>
      <c r="F1025" s="320"/>
      <c r="G1025" s="320"/>
      <c r="H1025" s="320"/>
      <c r="I1025" s="320"/>
      <c r="J1025" s="320"/>
      <c r="K1025" s="320"/>
      <c r="L1025" s="320"/>
      <c r="M1025" s="320"/>
      <c r="N1025" s="320"/>
      <c r="O1025" s="321"/>
      <c r="P1025" s="321"/>
      <c r="Y1025" s="326"/>
      <c r="AB1025" s="326"/>
      <c r="AC1025" s="326"/>
      <c r="AD1025" s="326"/>
      <c r="AG1025" s="326"/>
      <c r="AH1025" s="326"/>
      <c r="AI1025" s="326"/>
      <c r="AL1025" s="326"/>
      <c r="AM1025" s="326"/>
    </row>
    <row r="1026" spans="1:39" x14ac:dyDescent="0.15">
      <c r="A1026" s="327"/>
      <c r="B1026" s="320"/>
      <c r="C1026" s="320"/>
      <c r="D1026" s="320"/>
      <c r="E1026" s="320"/>
      <c r="F1026" s="320"/>
      <c r="G1026" s="320"/>
      <c r="H1026" s="320"/>
      <c r="I1026" s="320"/>
      <c r="J1026" s="320"/>
      <c r="K1026" s="320"/>
      <c r="L1026" s="320"/>
      <c r="M1026" s="320"/>
      <c r="N1026" s="320"/>
      <c r="O1026" s="321"/>
      <c r="P1026" s="321"/>
      <c r="Y1026" s="326"/>
      <c r="AB1026" s="326"/>
      <c r="AC1026" s="326"/>
      <c r="AD1026" s="326"/>
      <c r="AG1026" s="326"/>
      <c r="AH1026" s="326"/>
      <c r="AI1026" s="326"/>
      <c r="AL1026" s="326"/>
      <c r="AM1026" s="326"/>
    </row>
    <row r="1027" spans="1:39" x14ac:dyDescent="0.15">
      <c r="A1027" s="327"/>
      <c r="B1027" s="320"/>
      <c r="C1027" s="320"/>
      <c r="D1027" s="320"/>
      <c r="E1027" s="320"/>
      <c r="F1027" s="320"/>
      <c r="G1027" s="320"/>
      <c r="H1027" s="320"/>
      <c r="I1027" s="320"/>
      <c r="J1027" s="320"/>
      <c r="K1027" s="320"/>
      <c r="L1027" s="320"/>
      <c r="M1027" s="320"/>
      <c r="N1027" s="320"/>
      <c r="O1027" s="321"/>
      <c r="P1027" s="321"/>
      <c r="Y1027" s="326"/>
      <c r="AB1027" s="326"/>
      <c r="AC1027" s="326"/>
      <c r="AD1027" s="326"/>
      <c r="AG1027" s="326"/>
      <c r="AH1027" s="326"/>
      <c r="AI1027" s="326"/>
      <c r="AL1027" s="326"/>
      <c r="AM1027" s="326"/>
    </row>
    <row r="1028" spans="1:39" x14ac:dyDescent="0.15">
      <c r="A1028" s="327"/>
      <c r="B1028" s="320"/>
      <c r="C1028" s="320"/>
      <c r="D1028" s="320"/>
      <c r="E1028" s="320"/>
      <c r="F1028" s="320"/>
      <c r="G1028" s="320"/>
      <c r="H1028" s="320"/>
      <c r="I1028" s="320"/>
      <c r="J1028" s="320"/>
      <c r="K1028" s="320"/>
      <c r="L1028" s="320"/>
      <c r="M1028" s="320"/>
      <c r="N1028" s="320"/>
      <c r="O1028" s="321"/>
      <c r="P1028" s="321"/>
      <c r="Y1028" s="326"/>
      <c r="AB1028" s="326"/>
      <c r="AC1028" s="326"/>
      <c r="AD1028" s="326"/>
      <c r="AG1028" s="326"/>
      <c r="AH1028" s="326"/>
      <c r="AI1028" s="326"/>
      <c r="AL1028" s="326"/>
      <c r="AM1028" s="326"/>
    </row>
    <row r="1029" spans="1:39" x14ac:dyDescent="0.15">
      <c r="A1029" s="327"/>
      <c r="B1029" s="320"/>
      <c r="C1029" s="320"/>
      <c r="D1029" s="320"/>
      <c r="E1029" s="320"/>
      <c r="F1029" s="320"/>
      <c r="G1029" s="320"/>
      <c r="H1029" s="320"/>
      <c r="I1029" s="320"/>
      <c r="J1029" s="320"/>
      <c r="K1029" s="320"/>
      <c r="L1029" s="320"/>
      <c r="M1029" s="320"/>
      <c r="N1029" s="320"/>
      <c r="O1029" s="321"/>
      <c r="P1029" s="321"/>
      <c r="Y1029" s="326"/>
      <c r="AB1029" s="326"/>
      <c r="AC1029" s="326"/>
      <c r="AD1029" s="326"/>
      <c r="AG1029" s="326"/>
      <c r="AH1029" s="326"/>
      <c r="AI1029" s="326"/>
      <c r="AL1029" s="326"/>
      <c r="AM1029" s="326"/>
    </row>
    <row r="1030" spans="1:39" x14ac:dyDescent="0.15">
      <c r="A1030" s="327"/>
      <c r="B1030" s="320"/>
      <c r="C1030" s="320"/>
      <c r="D1030" s="320"/>
      <c r="E1030" s="320"/>
      <c r="F1030" s="320"/>
      <c r="G1030" s="320"/>
      <c r="H1030" s="320"/>
      <c r="I1030" s="320"/>
      <c r="J1030" s="320"/>
      <c r="K1030" s="320"/>
      <c r="L1030" s="320"/>
      <c r="M1030" s="320"/>
      <c r="N1030" s="320"/>
      <c r="O1030" s="321"/>
      <c r="P1030" s="321"/>
      <c r="Y1030" s="326"/>
      <c r="AB1030" s="326"/>
      <c r="AC1030" s="326"/>
      <c r="AD1030" s="326"/>
      <c r="AG1030" s="326"/>
      <c r="AH1030" s="326"/>
      <c r="AI1030" s="326"/>
      <c r="AL1030" s="326"/>
      <c r="AM1030" s="326"/>
    </row>
    <row r="1031" spans="1:39" x14ac:dyDescent="0.15">
      <c r="A1031" s="327"/>
      <c r="B1031" s="320"/>
      <c r="C1031" s="320"/>
      <c r="D1031" s="320"/>
      <c r="E1031" s="320"/>
      <c r="F1031" s="320"/>
      <c r="G1031" s="320"/>
      <c r="H1031" s="320"/>
      <c r="I1031" s="320"/>
      <c r="J1031" s="320"/>
      <c r="K1031" s="320"/>
      <c r="L1031" s="320"/>
      <c r="M1031" s="320"/>
      <c r="N1031" s="320"/>
      <c r="O1031" s="321"/>
      <c r="P1031" s="321"/>
      <c r="Y1031" s="326"/>
      <c r="AB1031" s="326"/>
      <c r="AC1031" s="326"/>
      <c r="AD1031" s="326"/>
      <c r="AG1031" s="326"/>
      <c r="AH1031" s="326"/>
      <c r="AI1031" s="326"/>
      <c r="AL1031" s="326"/>
      <c r="AM1031" s="326"/>
    </row>
    <row r="1032" spans="1:39" x14ac:dyDescent="0.15">
      <c r="A1032" s="327"/>
      <c r="B1032" s="320"/>
      <c r="C1032" s="320"/>
      <c r="D1032" s="320"/>
      <c r="E1032" s="320"/>
      <c r="F1032" s="320"/>
      <c r="G1032" s="320"/>
      <c r="H1032" s="320"/>
      <c r="I1032" s="320"/>
      <c r="J1032" s="320"/>
      <c r="K1032" s="320"/>
      <c r="L1032" s="320"/>
      <c r="M1032" s="320"/>
      <c r="N1032" s="320"/>
      <c r="O1032" s="321"/>
      <c r="P1032" s="321"/>
      <c r="Y1032" s="326"/>
      <c r="AB1032" s="326"/>
      <c r="AC1032" s="326"/>
      <c r="AD1032" s="326"/>
      <c r="AG1032" s="326"/>
      <c r="AH1032" s="326"/>
      <c r="AI1032" s="326"/>
      <c r="AL1032" s="326"/>
      <c r="AM1032" s="326"/>
    </row>
    <row r="1033" spans="1:39" x14ac:dyDescent="0.15">
      <c r="A1033" s="327"/>
      <c r="B1033" s="320"/>
      <c r="C1033" s="320"/>
      <c r="D1033" s="320"/>
      <c r="E1033" s="320"/>
      <c r="F1033" s="320"/>
      <c r="G1033" s="320"/>
      <c r="H1033" s="320"/>
      <c r="I1033" s="320"/>
      <c r="J1033" s="320"/>
      <c r="K1033" s="320"/>
      <c r="L1033" s="320"/>
      <c r="M1033" s="320"/>
      <c r="N1033" s="320"/>
      <c r="O1033" s="321"/>
      <c r="P1033" s="321"/>
      <c r="Y1033" s="326"/>
      <c r="AB1033" s="326"/>
      <c r="AC1033" s="326"/>
      <c r="AD1033" s="326"/>
      <c r="AG1033" s="326"/>
      <c r="AH1033" s="326"/>
      <c r="AI1033" s="326"/>
      <c r="AL1033" s="326"/>
      <c r="AM1033" s="326"/>
    </row>
    <row r="1034" spans="1:39" x14ac:dyDescent="0.15">
      <c r="A1034" s="327"/>
      <c r="B1034" s="320"/>
      <c r="C1034" s="320"/>
      <c r="D1034" s="320"/>
      <c r="E1034" s="320"/>
      <c r="F1034" s="320"/>
      <c r="G1034" s="320"/>
      <c r="H1034" s="320"/>
      <c r="I1034" s="320"/>
      <c r="J1034" s="320"/>
      <c r="K1034" s="320"/>
      <c r="L1034" s="320"/>
      <c r="M1034" s="320"/>
      <c r="N1034" s="320"/>
      <c r="O1034" s="321"/>
      <c r="P1034" s="321"/>
      <c r="Y1034" s="326"/>
      <c r="AB1034" s="326"/>
      <c r="AC1034" s="326"/>
      <c r="AD1034" s="326"/>
      <c r="AG1034" s="326"/>
      <c r="AH1034" s="326"/>
      <c r="AI1034" s="326"/>
      <c r="AL1034" s="326"/>
      <c r="AM1034" s="326"/>
    </row>
    <row r="1035" spans="1:39" x14ac:dyDescent="0.15">
      <c r="A1035" s="327"/>
      <c r="B1035" s="320"/>
      <c r="C1035" s="320"/>
      <c r="D1035" s="320"/>
      <c r="E1035" s="320"/>
      <c r="F1035" s="320"/>
      <c r="G1035" s="320"/>
      <c r="H1035" s="320"/>
      <c r="I1035" s="320"/>
      <c r="J1035" s="320"/>
      <c r="K1035" s="320"/>
      <c r="L1035" s="320"/>
      <c r="M1035" s="320"/>
      <c r="N1035" s="320"/>
      <c r="O1035" s="321"/>
      <c r="P1035" s="321"/>
      <c r="Y1035" s="326"/>
      <c r="AB1035" s="326"/>
      <c r="AC1035" s="326"/>
      <c r="AD1035" s="326"/>
      <c r="AG1035" s="326"/>
      <c r="AH1035" s="326"/>
      <c r="AI1035" s="326"/>
      <c r="AL1035" s="326"/>
      <c r="AM1035" s="326"/>
    </row>
    <row r="1036" spans="1:39" x14ac:dyDescent="0.15">
      <c r="A1036" s="327"/>
      <c r="B1036" s="320"/>
      <c r="C1036" s="320"/>
      <c r="D1036" s="320"/>
      <c r="E1036" s="320"/>
      <c r="F1036" s="320"/>
      <c r="G1036" s="320"/>
      <c r="H1036" s="320"/>
      <c r="I1036" s="320"/>
      <c r="J1036" s="320"/>
      <c r="K1036" s="320"/>
      <c r="L1036" s="320"/>
      <c r="M1036" s="320"/>
      <c r="N1036" s="320"/>
      <c r="O1036" s="321"/>
      <c r="P1036" s="321"/>
      <c r="Y1036" s="326"/>
      <c r="AB1036" s="326"/>
      <c r="AC1036" s="326"/>
      <c r="AD1036" s="326"/>
      <c r="AG1036" s="326"/>
      <c r="AH1036" s="326"/>
      <c r="AI1036" s="326"/>
      <c r="AL1036" s="326"/>
      <c r="AM1036" s="326"/>
    </row>
    <row r="1037" spans="1:39" x14ac:dyDescent="0.15">
      <c r="A1037" s="327"/>
      <c r="B1037" s="320"/>
      <c r="C1037" s="320"/>
      <c r="D1037" s="320"/>
      <c r="E1037" s="320"/>
      <c r="F1037" s="320"/>
      <c r="G1037" s="320"/>
      <c r="H1037" s="320"/>
      <c r="I1037" s="320"/>
      <c r="J1037" s="320"/>
      <c r="K1037" s="320"/>
      <c r="L1037" s="320"/>
      <c r="M1037" s="320"/>
      <c r="N1037" s="320"/>
      <c r="O1037" s="321"/>
      <c r="P1037" s="321"/>
      <c r="Y1037" s="326"/>
      <c r="AB1037" s="326"/>
      <c r="AC1037" s="326"/>
      <c r="AD1037" s="326"/>
      <c r="AG1037" s="326"/>
      <c r="AH1037" s="326"/>
      <c r="AI1037" s="326"/>
      <c r="AL1037" s="326"/>
      <c r="AM1037" s="326"/>
    </row>
    <row r="1038" spans="1:39" x14ac:dyDescent="0.15">
      <c r="A1038" s="327"/>
      <c r="B1038" s="320"/>
      <c r="C1038" s="320"/>
      <c r="D1038" s="320"/>
      <c r="E1038" s="320"/>
      <c r="F1038" s="320"/>
      <c r="G1038" s="320"/>
      <c r="H1038" s="320"/>
      <c r="I1038" s="320"/>
      <c r="J1038" s="320"/>
      <c r="K1038" s="320"/>
      <c r="L1038" s="320"/>
      <c r="M1038" s="320"/>
      <c r="N1038" s="320"/>
      <c r="O1038" s="321"/>
      <c r="P1038" s="321"/>
      <c r="Y1038" s="326"/>
      <c r="AB1038" s="326"/>
      <c r="AC1038" s="326"/>
      <c r="AD1038" s="326"/>
      <c r="AG1038" s="326"/>
      <c r="AH1038" s="326"/>
      <c r="AI1038" s="326"/>
      <c r="AL1038" s="326"/>
      <c r="AM1038" s="326"/>
    </row>
    <row r="1039" spans="1:39" x14ac:dyDescent="0.15">
      <c r="A1039" s="327"/>
      <c r="B1039" s="320"/>
      <c r="C1039" s="320"/>
      <c r="D1039" s="320"/>
      <c r="E1039" s="320"/>
      <c r="F1039" s="320"/>
      <c r="G1039" s="320"/>
      <c r="H1039" s="320"/>
      <c r="I1039" s="320"/>
      <c r="J1039" s="320"/>
      <c r="K1039" s="320"/>
      <c r="L1039" s="320"/>
      <c r="M1039" s="320"/>
      <c r="N1039" s="320"/>
      <c r="O1039" s="321"/>
      <c r="P1039" s="321"/>
      <c r="Y1039" s="326"/>
      <c r="AB1039" s="326"/>
      <c r="AC1039" s="326"/>
      <c r="AD1039" s="326"/>
      <c r="AG1039" s="326"/>
      <c r="AH1039" s="326"/>
      <c r="AI1039" s="326"/>
      <c r="AL1039" s="326"/>
      <c r="AM1039" s="326"/>
    </row>
    <row r="1040" spans="1:39" x14ac:dyDescent="0.15">
      <c r="A1040" s="327"/>
      <c r="B1040" s="320"/>
      <c r="C1040" s="320"/>
      <c r="D1040" s="320"/>
      <c r="E1040" s="320"/>
      <c r="F1040" s="320"/>
      <c r="G1040" s="320"/>
      <c r="H1040" s="320"/>
      <c r="I1040" s="320"/>
      <c r="J1040" s="320"/>
      <c r="K1040" s="320"/>
      <c r="L1040" s="320"/>
      <c r="M1040" s="320"/>
      <c r="N1040" s="320"/>
      <c r="O1040" s="321"/>
      <c r="P1040" s="321"/>
      <c r="Y1040" s="326"/>
      <c r="AB1040" s="326"/>
      <c r="AC1040" s="326"/>
      <c r="AD1040" s="326"/>
      <c r="AG1040" s="326"/>
      <c r="AH1040" s="326"/>
      <c r="AI1040" s="326"/>
      <c r="AL1040" s="326"/>
      <c r="AM1040" s="326"/>
    </row>
    <row r="1041" spans="1:39" x14ac:dyDescent="0.15">
      <c r="A1041" s="327"/>
      <c r="B1041" s="320"/>
      <c r="C1041" s="320"/>
      <c r="D1041" s="320"/>
      <c r="E1041" s="320"/>
      <c r="F1041" s="320"/>
      <c r="G1041" s="320"/>
      <c r="H1041" s="320"/>
      <c r="I1041" s="320"/>
      <c r="J1041" s="320"/>
      <c r="K1041" s="320"/>
      <c r="L1041" s="320"/>
      <c r="M1041" s="320"/>
      <c r="N1041" s="320"/>
      <c r="O1041" s="321"/>
      <c r="P1041" s="321"/>
      <c r="Y1041" s="326"/>
      <c r="AB1041" s="326"/>
      <c r="AC1041" s="326"/>
      <c r="AD1041" s="326"/>
      <c r="AG1041" s="326"/>
      <c r="AH1041" s="326"/>
      <c r="AI1041" s="326"/>
      <c r="AL1041" s="326"/>
      <c r="AM1041" s="326"/>
    </row>
    <row r="1042" spans="1:39" x14ac:dyDescent="0.15">
      <c r="A1042" s="327"/>
      <c r="B1042" s="320"/>
      <c r="C1042" s="320"/>
      <c r="D1042" s="320"/>
      <c r="E1042" s="320"/>
      <c r="F1042" s="320"/>
      <c r="G1042" s="320"/>
      <c r="H1042" s="320"/>
      <c r="I1042" s="320"/>
      <c r="J1042" s="320"/>
      <c r="K1042" s="320"/>
      <c r="L1042" s="320"/>
      <c r="M1042" s="320"/>
      <c r="N1042" s="320"/>
      <c r="O1042" s="321"/>
      <c r="P1042" s="321"/>
      <c r="Y1042" s="326"/>
      <c r="AB1042" s="326"/>
      <c r="AC1042" s="326"/>
      <c r="AD1042" s="326"/>
      <c r="AG1042" s="326"/>
      <c r="AH1042" s="326"/>
      <c r="AI1042" s="326"/>
      <c r="AL1042" s="326"/>
      <c r="AM1042" s="326"/>
    </row>
    <row r="1043" spans="1:39" x14ac:dyDescent="0.15">
      <c r="A1043" s="327"/>
      <c r="B1043" s="320"/>
      <c r="C1043" s="320"/>
      <c r="D1043" s="320"/>
      <c r="E1043" s="320"/>
      <c r="F1043" s="320"/>
      <c r="G1043" s="320"/>
      <c r="H1043" s="320"/>
      <c r="I1043" s="320"/>
      <c r="J1043" s="320"/>
      <c r="K1043" s="320"/>
      <c r="L1043" s="320"/>
      <c r="M1043" s="320"/>
      <c r="N1043" s="320"/>
      <c r="O1043" s="321"/>
      <c r="P1043" s="321"/>
      <c r="Y1043" s="326"/>
      <c r="AB1043" s="326"/>
      <c r="AC1043" s="326"/>
      <c r="AD1043" s="326"/>
      <c r="AG1043" s="326"/>
      <c r="AH1043" s="326"/>
      <c r="AI1043" s="326"/>
      <c r="AL1043" s="326"/>
      <c r="AM1043" s="326"/>
    </row>
    <row r="1044" spans="1:39" x14ac:dyDescent="0.15">
      <c r="A1044" s="327"/>
      <c r="B1044" s="320"/>
      <c r="C1044" s="320"/>
      <c r="D1044" s="320"/>
      <c r="E1044" s="320"/>
      <c r="F1044" s="320"/>
      <c r="G1044" s="320"/>
      <c r="H1044" s="320"/>
      <c r="I1044" s="320"/>
      <c r="J1044" s="320"/>
      <c r="K1044" s="320"/>
      <c r="L1044" s="320"/>
      <c r="M1044" s="320"/>
      <c r="N1044" s="320"/>
      <c r="O1044" s="321"/>
      <c r="P1044" s="321"/>
      <c r="Y1044" s="326"/>
      <c r="AB1044" s="326"/>
      <c r="AC1044" s="326"/>
      <c r="AD1044" s="326"/>
      <c r="AG1044" s="326"/>
      <c r="AH1044" s="326"/>
      <c r="AI1044" s="326"/>
      <c r="AL1044" s="326"/>
      <c r="AM1044" s="326"/>
    </row>
    <row r="1045" spans="1:39" x14ac:dyDescent="0.15">
      <c r="A1045" s="327"/>
      <c r="B1045" s="320"/>
      <c r="C1045" s="320"/>
      <c r="D1045" s="320"/>
      <c r="E1045" s="320"/>
      <c r="F1045" s="320"/>
      <c r="G1045" s="320"/>
      <c r="H1045" s="320"/>
      <c r="I1045" s="320"/>
      <c r="J1045" s="320"/>
      <c r="K1045" s="320"/>
      <c r="L1045" s="320"/>
      <c r="M1045" s="320"/>
      <c r="N1045" s="320"/>
      <c r="O1045" s="321"/>
      <c r="P1045" s="321"/>
      <c r="Y1045" s="326"/>
      <c r="AB1045" s="326"/>
      <c r="AC1045" s="326"/>
      <c r="AD1045" s="326"/>
      <c r="AG1045" s="326"/>
      <c r="AH1045" s="326"/>
      <c r="AI1045" s="326"/>
      <c r="AL1045" s="326"/>
      <c r="AM1045" s="326"/>
    </row>
    <row r="1046" spans="1:39" x14ac:dyDescent="0.15">
      <c r="A1046" s="327"/>
      <c r="B1046" s="320"/>
      <c r="C1046" s="320"/>
      <c r="D1046" s="320"/>
      <c r="E1046" s="320"/>
      <c r="F1046" s="320"/>
      <c r="G1046" s="320"/>
      <c r="H1046" s="320"/>
      <c r="I1046" s="320"/>
      <c r="J1046" s="320"/>
      <c r="K1046" s="320"/>
      <c r="L1046" s="320"/>
      <c r="M1046" s="320"/>
      <c r="N1046" s="320"/>
      <c r="O1046" s="321"/>
      <c r="P1046" s="321"/>
      <c r="Y1046" s="326"/>
      <c r="AB1046" s="326"/>
      <c r="AC1046" s="326"/>
      <c r="AD1046" s="326"/>
      <c r="AG1046" s="326"/>
      <c r="AH1046" s="326"/>
      <c r="AI1046" s="326"/>
      <c r="AL1046" s="326"/>
      <c r="AM1046" s="326"/>
    </row>
    <row r="1047" spans="1:39" x14ac:dyDescent="0.15">
      <c r="A1047" s="327"/>
      <c r="B1047" s="320"/>
      <c r="C1047" s="320"/>
      <c r="D1047" s="320"/>
      <c r="E1047" s="320"/>
      <c r="F1047" s="320"/>
      <c r="G1047" s="320"/>
      <c r="H1047" s="320"/>
      <c r="I1047" s="320"/>
      <c r="J1047" s="320"/>
      <c r="K1047" s="320"/>
      <c r="L1047" s="320"/>
      <c r="M1047" s="320"/>
      <c r="N1047" s="320"/>
      <c r="O1047" s="321"/>
      <c r="P1047" s="321"/>
      <c r="Y1047" s="326"/>
      <c r="AB1047" s="326"/>
      <c r="AC1047" s="326"/>
      <c r="AD1047" s="326"/>
      <c r="AG1047" s="326"/>
      <c r="AH1047" s="326"/>
      <c r="AI1047" s="326"/>
      <c r="AL1047" s="326"/>
      <c r="AM1047" s="326"/>
    </row>
    <row r="1048" spans="1:39" x14ac:dyDescent="0.15">
      <c r="A1048" s="327"/>
      <c r="B1048" s="320"/>
      <c r="C1048" s="320"/>
      <c r="D1048" s="320"/>
      <c r="E1048" s="320"/>
      <c r="F1048" s="320"/>
      <c r="G1048" s="320"/>
      <c r="H1048" s="320"/>
      <c r="I1048" s="320"/>
      <c r="J1048" s="320"/>
      <c r="K1048" s="320"/>
      <c r="L1048" s="320"/>
      <c r="M1048" s="320"/>
      <c r="N1048" s="320"/>
      <c r="O1048" s="321"/>
      <c r="P1048" s="321"/>
      <c r="Y1048" s="326"/>
      <c r="AB1048" s="326"/>
      <c r="AC1048" s="326"/>
      <c r="AD1048" s="326"/>
      <c r="AG1048" s="326"/>
      <c r="AH1048" s="326"/>
      <c r="AI1048" s="326"/>
      <c r="AL1048" s="326"/>
      <c r="AM1048" s="326"/>
    </row>
    <row r="1049" spans="1:39" x14ac:dyDescent="0.15">
      <c r="A1049" s="327"/>
      <c r="B1049" s="320"/>
      <c r="C1049" s="320"/>
      <c r="D1049" s="320"/>
      <c r="E1049" s="320"/>
      <c r="F1049" s="320"/>
      <c r="G1049" s="320"/>
      <c r="H1049" s="320"/>
      <c r="I1049" s="320"/>
      <c r="J1049" s="320"/>
      <c r="K1049" s="320"/>
      <c r="L1049" s="320"/>
      <c r="M1049" s="320"/>
      <c r="N1049" s="320"/>
      <c r="O1049" s="321"/>
      <c r="P1049" s="321"/>
      <c r="Y1049" s="326"/>
      <c r="AB1049" s="326"/>
      <c r="AC1049" s="326"/>
      <c r="AD1049" s="326"/>
      <c r="AG1049" s="326"/>
      <c r="AH1049" s="326"/>
      <c r="AI1049" s="326"/>
      <c r="AL1049" s="326"/>
      <c r="AM1049" s="326"/>
    </row>
    <row r="1050" spans="1:39" x14ac:dyDescent="0.15">
      <c r="A1050" s="327"/>
      <c r="B1050" s="320"/>
      <c r="C1050" s="320"/>
      <c r="D1050" s="320"/>
      <c r="E1050" s="320"/>
      <c r="F1050" s="320"/>
      <c r="G1050" s="320"/>
      <c r="H1050" s="320"/>
      <c r="I1050" s="320"/>
      <c r="J1050" s="320"/>
      <c r="K1050" s="320"/>
      <c r="L1050" s="320"/>
      <c r="M1050" s="320"/>
      <c r="N1050" s="320"/>
      <c r="O1050" s="321"/>
      <c r="P1050" s="321"/>
      <c r="Y1050" s="326"/>
      <c r="AB1050" s="326"/>
      <c r="AC1050" s="326"/>
      <c r="AD1050" s="326"/>
      <c r="AG1050" s="326"/>
      <c r="AH1050" s="326"/>
      <c r="AI1050" s="326"/>
      <c r="AL1050" s="326"/>
      <c r="AM1050" s="326"/>
    </row>
    <row r="1051" spans="1:39" x14ac:dyDescent="0.15">
      <c r="A1051" s="327"/>
      <c r="B1051" s="320"/>
      <c r="C1051" s="320"/>
      <c r="D1051" s="320"/>
      <c r="E1051" s="320"/>
      <c r="F1051" s="320"/>
      <c r="G1051" s="320"/>
      <c r="H1051" s="320"/>
      <c r="I1051" s="320"/>
      <c r="J1051" s="320"/>
      <c r="K1051" s="320"/>
      <c r="L1051" s="320"/>
      <c r="M1051" s="320"/>
      <c r="N1051" s="320"/>
      <c r="O1051" s="321"/>
      <c r="P1051" s="321"/>
      <c r="Y1051" s="326"/>
      <c r="AB1051" s="326"/>
      <c r="AC1051" s="326"/>
      <c r="AD1051" s="326"/>
      <c r="AG1051" s="326"/>
      <c r="AH1051" s="326"/>
      <c r="AI1051" s="326"/>
      <c r="AL1051" s="326"/>
      <c r="AM1051" s="326"/>
    </row>
    <row r="1052" spans="1:39" x14ac:dyDescent="0.15">
      <c r="A1052" s="327"/>
      <c r="B1052" s="320"/>
      <c r="C1052" s="320"/>
      <c r="D1052" s="320"/>
      <c r="E1052" s="320"/>
      <c r="F1052" s="320"/>
      <c r="G1052" s="320"/>
      <c r="H1052" s="320"/>
      <c r="I1052" s="320"/>
      <c r="J1052" s="320"/>
      <c r="K1052" s="320"/>
      <c r="L1052" s="320"/>
      <c r="M1052" s="320"/>
      <c r="N1052" s="320"/>
      <c r="O1052" s="321"/>
      <c r="P1052" s="321"/>
      <c r="Y1052" s="326"/>
      <c r="AB1052" s="326"/>
      <c r="AC1052" s="326"/>
      <c r="AD1052" s="326"/>
      <c r="AG1052" s="326"/>
      <c r="AH1052" s="326"/>
      <c r="AI1052" s="326"/>
      <c r="AL1052" s="326"/>
      <c r="AM1052" s="326"/>
    </row>
    <row r="1053" spans="1:39" x14ac:dyDescent="0.15">
      <c r="A1053" s="327"/>
      <c r="B1053" s="320"/>
      <c r="C1053" s="320"/>
      <c r="D1053" s="320"/>
      <c r="E1053" s="320"/>
      <c r="F1053" s="320"/>
      <c r="G1053" s="320"/>
      <c r="H1053" s="320"/>
      <c r="I1053" s="320"/>
      <c r="J1053" s="320"/>
      <c r="K1053" s="320"/>
      <c r="L1053" s="320"/>
      <c r="M1053" s="320"/>
      <c r="N1053" s="320"/>
      <c r="O1053" s="321"/>
      <c r="P1053" s="321"/>
      <c r="Y1053" s="326"/>
      <c r="AB1053" s="326"/>
      <c r="AC1053" s="326"/>
      <c r="AD1053" s="326"/>
      <c r="AG1053" s="326"/>
      <c r="AH1053" s="326"/>
      <c r="AI1053" s="326"/>
      <c r="AL1053" s="326"/>
      <c r="AM1053" s="326"/>
    </row>
    <row r="1054" spans="1:39" x14ac:dyDescent="0.15">
      <c r="A1054" s="327"/>
      <c r="B1054" s="320"/>
      <c r="C1054" s="320"/>
      <c r="D1054" s="320"/>
      <c r="E1054" s="320"/>
      <c r="F1054" s="320"/>
      <c r="G1054" s="320"/>
      <c r="H1054" s="320"/>
      <c r="I1054" s="320"/>
      <c r="J1054" s="320"/>
      <c r="K1054" s="320"/>
      <c r="L1054" s="320"/>
      <c r="M1054" s="320"/>
      <c r="N1054" s="320"/>
      <c r="O1054" s="321"/>
      <c r="P1054" s="321"/>
      <c r="Y1054" s="326"/>
      <c r="AB1054" s="326"/>
      <c r="AC1054" s="326"/>
      <c r="AD1054" s="326"/>
      <c r="AG1054" s="326"/>
      <c r="AH1054" s="326"/>
      <c r="AI1054" s="326"/>
      <c r="AL1054" s="326"/>
      <c r="AM1054" s="326"/>
    </row>
    <row r="1055" spans="1:39" x14ac:dyDescent="0.15">
      <c r="A1055" s="327"/>
      <c r="B1055" s="320"/>
      <c r="C1055" s="320"/>
      <c r="D1055" s="320"/>
      <c r="E1055" s="320"/>
      <c r="F1055" s="320"/>
      <c r="G1055" s="320"/>
      <c r="H1055" s="320"/>
      <c r="I1055" s="320"/>
      <c r="J1055" s="320"/>
      <c r="K1055" s="320"/>
      <c r="L1055" s="320"/>
      <c r="M1055" s="320"/>
      <c r="N1055" s="320"/>
      <c r="O1055" s="321"/>
      <c r="P1055" s="321"/>
      <c r="Y1055" s="326"/>
      <c r="AB1055" s="326"/>
      <c r="AC1055" s="326"/>
      <c r="AD1055" s="326"/>
      <c r="AG1055" s="326"/>
      <c r="AH1055" s="326"/>
      <c r="AI1055" s="326"/>
      <c r="AL1055" s="326"/>
      <c r="AM1055" s="326"/>
    </row>
    <row r="1056" spans="1:39" x14ac:dyDescent="0.15">
      <c r="A1056" s="327"/>
      <c r="B1056" s="320"/>
      <c r="C1056" s="320"/>
      <c r="D1056" s="320"/>
      <c r="E1056" s="320"/>
      <c r="F1056" s="320"/>
      <c r="G1056" s="320"/>
      <c r="H1056" s="320"/>
      <c r="I1056" s="320"/>
      <c r="J1056" s="320"/>
      <c r="K1056" s="320"/>
      <c r="L1056" s="320"/>
      <c r="M1056" s="320"/>
      <c r="N1056" s="320"/>
      <c r="O1056" s="321"/>
      <c r="P1056" s="321"/>
      <c r="Y1056" s="326"/>
      <c r="AB1056" s="326"/>
      <c r="AC1056" s="326"/>
      <c r="AD1056" s="326"/>
      <c r="AG1056" s="326"/>
      <c r="AH1056" s="326"/>
      <c r="AI1056" s="326"/>
      <c r="AL1056" s="326"/>
      <c r="AM1056" s="326"/>
    </row>
    <row r="1057" spans="1:39" x14ac:dyDescent="0.15">
      <c r="A1057" s="327"/>
      <c r="B1057" s="320"/>
      <c r="C1057" s="320"/>
      <c r="D1057" s="320"/>
      <c r="E1057" s="320"/>
      <c r="F1057" s="320"/>
      <c r="G1057" s="320"/>
      <c r="H1057" s="320"/>
      <c r="I1057" s="320"/>
      <c r="J1057" s="320"/>
      <c r="K1057" s="320"/>
      <c r="L1057" s="320"/>
      <c r="M1057" s="320"/>
      <c r="N1057" s="320"/>
      <c r="O1057" s="321"/>
      <c r="P1057" s="321"/>
      <c r="Y1057" s="326"/>
      <c r="AB1057" s="326"/>
      <c r="AC1057" s="326"/>
      <c r="AD1057" s="326"/>
      <c r="AG1057" s="326"/>
      <c r="AH1057" s="326"/>
      <c r="AI1057" s="326"/>
      <c r="AL1057" s="326"/>
      <c r="AM1057" s="326"/>
    </row>
    <row r="1058" spans="1:39" x14ac:dyDescent="0.15">
      <c r="A1058" s="327"/>
      <c r="B1058" s="320"/>
      <c r="C1058" s="320"/>
      <c r="D1058" s="320"/>
      <c r="E1058" s="320"/>
      <c r="F1058" s="320"/>
      <c r="G1058" s="320"/>
      <c r="H1058" s="320"/>
      <c r="I1058" s="320"/>
      <c r="J1058" s="320"/>
      <c r="K1058" s="320"/>
      <c r="L1058" s="320"/>
      <c r="M1058" s="320"/>
      <c r="N1058" s="320"/>
      <c r="O1058" s="321"/>
      <c r="P1058" s="321"/>
      <c r="Y1058" s="326"/>
      <c r="AB1058" s="326"/>
      <c r="AC1058" s="326"/>
      <c r="AD1058" s="326"/>
      <c r="AG1058" s="326"/>
      <c r="AH1058" s="326"/>
      <c r="AI1058" s="326"/>
      <c r="AL1058" s="326"/>
      <c r="AM1058" s="326"/>
    </row>
    <row r="1059" spans="1:39" x14ac:dyDescent="0.15">
      <c r="A1059" s="327"/>
      <c r="B1059" s="320"/>
      <c r="C1059" s="320"/>
      <c r="D1059" s="320"/>
      <c r="E1059" s="320"/>
      <c r="F1059" s="320"/>
      <c r="G1059" s="320"/>
      <c r="H1059" s="320"/>
      <c r="I1059" s="320"/>
      <c r="J1059" s="320"/>
      <c r="K1059" s="320"/>
      <c r="L1059" s="320"/>
      <c r="M1059" s="320"/>
      <c r="N1059" s="320"/>
      <c r="O1059" s="321"/>
      <c r="P1059" s="321"/>
      <c r="Y1059" s="326"/>
      <c r="AB1059" s="326"/>
      <c r="AC1059" s="326"/>
      <c r="AD1059" s="326"/>
      <c r="AG1059" s="326"/>
      <c r="AH1059" s="326"/>
      <c r="AI1059" s="326"/>
      <c r="AL1059" s="326"/>
      <c r="AM1059" s="326"/>
    </row>
    <row r="1060" spans="1:39" x14ac:dyDescent="0.15">
      <c r="A1060" s="327"/>
      <c r="B1060" s="320"/>
      <c r="C1060" s="320"/>
      <c r="D1060" s="320"/>
      <c r="E1060" s="320"/>
      <c r="F1060" s="320"/>
      <c r="G1060" s="320"/>
      <c r="H1060" s="320"/>
      <c r="I1060" s="320"/>
      <c r="J1060" s="320"/>
      <c r="K1060" s="320"/>
      <c r="L1060" s="320"/>
      <c r="M1060" s="320"/>
      <c r="N1060" s="320"/>
      <c r="O1060" s="321"/>
      <c r="P1060" s="321"/>
      <c r="Y1060" s="326"/>
      <c r="AB1060" s="326"/>
      <c r="AC1060" s="326"/>
      <c r="AD1060" s="326"/>
      <c r="AG1060" s="326"/>
      <c r="AH1060" s="326"/>
      <c r="AI1060" s="326"/>
      <c r="AL1060" s="326"/>
      <c r="AM1060" s="326"/>
    </row>
    <row r="1061" spans="1:39" x14ac:dyDescent="0.15">
      <c r="A1061" s="327"/>
      <c r="B1061" s="320"/>
      <c r="C1061" s="320"/>
      <c r="D1061" s="320"/>
      <c r="E1061" s="320"/>
      <c r="F1061" s="320"/>
      <c r="G1061" s="320"/>
      <c r="H1061" s="320"/>
      <c r="I1061" s="320"/>
      <c r="J1061" s="320"/>
      <c r="K1061" s="320"/>
      <c r="L1061" s="320"/>
      <c r="M1061" s="320"/>
      <c r="N1061" s="320"/>
      <c r="O1061" s="321"/>
      <c r="P1061" s="321"/>
      <c r="Y1061" s="326"/>
      <c r="AB1061" s="326"/>
      <c r="AC1061" s="326"/>
      <c r="AD1061" s="326"/>
      <c r="AG1061" s="326"/>
      <c r="AH1061" s="326"/>
      <c r="AI1061" s="326"/>
      <c r="AL1061" s="326"/>
      <c r="AM1061" s="326"/>
    </row>
    <row r="1062" spans="1:39" x14ac:dyDescent="0.15">
      <c r="A1062" s="327"/>
      <c r="B1062" s="320"/>
      <c r="C1062" s="320"/>
      <c r="D1062" s="320"/>
      <c r="E1062" s="320"/>
      <c r="F1062" s="320"/>
      <c r="G1062" s="320"/>
      <c r="H1062" s="320"/>
      <c r="I1062" s="320"/>
      <c r="J1062" s="320"/>
      <c r="K1062" s="320"/>
      <c r="L1062" s="320"/>
      <c r="M1062" s="320"/>
      <c r="N1062" s="320"/>
      <c r="O1062" s="321"/>
      <c r="P1062" s="321"/>
      <c r="Y1062" s="326"/>
      <c r="AB1062" s="326"/>
      <c r="AC1062" s="326"/>
      <c r="AD1062" s="326"/>
      <c r="AG1062" s="326"/>
      <c r="AH1062" s="326"/>
      <c r="AI1062" s="326"/>
      <c r="AL1062" s="326"/>
      <c r="AM1062" s="326"/>
    </row>
    <row r="1063" spans="1:39" x14ac:dyDescent="0.15">
      <c r="A1063" s="327"/>
      <c r="B1063" s="320"/>
      <c r="C1063" s="320"/>
      <c r="D1063" s="320"/>
      <c r="E1063" s="320"/>
      <c r="F1063" s="320"/>
      <c r="G1063" s="320"/>
      <c r="H1063" s="320"/>
      <c r="I1063" s="320"/>
      <c r="J1063" s="320"/>
      <c r="K1063" s="320"/>
      <c r="L1063" s="320"/>
      <c r="M1063" s="320"/>
      <c r="N1063" s="320"/>
      <c r="O1063" s="321"/>
      <c r="P1063" s="321"/>
      <c r="Y1063" s="326"/>
      <c r="AB1063" s="326"/>
      <c r="AC1063" s="326"/>
      <c r="AD1063" s="326"/>
      <c r="AG1063" s="326"/>
      <c r="AH1063" s="326"/>
      <c r="AI1063" s="326"/>
      <c r="AL1063" s="326"/>
      <c r="AM1063" s="326"/>
    </row>
    <row r="1064" spans="1:39" x14ac:dyDescent="0.15">
      <c r="A1064" s="327"/>
      <c r="B1064" s="320"/>
      <c r="C1064" s="320"/>
      <c r="D1064" s="320"/>
      <c r="E1064" s="320"/>
      <c r="F1064" s="320"/>
      <c r="G1064" s="320"/>
      <c r="H1064" s="320"/>
      <c r="I1064" s="320"/>
      <c r="J1064" s="320"/>
      <c r="K1064" s="320"/>
      <c r="L1064" s="320"/>
      <c r="M1064" s="320"/>
      <c r="N1064" s="320"/>
      <c r="O1064" s="321"/>
      <c r="P1064" s="321"/>
      <c r="Y1064" s="326"/>
      <c r="AB1064" s="326"/>
      <c r="AC1064" s="326"/>
      <c r="AD1064" s="326"/>
      <c r="AG1064" s="326"/>
      <c r="AH1064" s="326"/>
      <c r="AI1064" s="326"/>
      <c r="AL1064" s="326"/>
      <c r="AM1064" s="326"/>
    </row>
    <row r="1065" spans="1:39" x14ac:dyDescent="0.15">
      <c r="A1065" s="327"/>
      <c r="B1065" s="320"/>
      <c r="C1065" s="320"/>
      <c r="D1065" s="320"/>
      <c r="E1065" s="320"/>
      <c r="F1065" s="320"/>
      <c r="G1065" s="320"/>
      <c r="H1065" s="320"/>
      <c r="I1065" s="320"/>
      <c r="J1065" s="320"/>
      <c r="K1065" s="320"/>
      <c r="L1065" s="320"/>
      <c r="M1065" s="320"/>
      <c r="N1065" s="320"/>
      <c r="O1065" s="321"/>
      <c r="P1065" s="321"/>
      <c r="Y1065" s="326"/>
      <c r="AB1065" s="326"/>
      <c r="AC1065" s="326"/>
      <c r="AD1065" s="326"/>
      <c r="AG1065" s="326"/>
      <c r="AH1065" s="326"/>
      <c r="AI1065" s="326"/>
      <c r="AL1065" s="326"/>
      <c r="AM1065" s="326"/>
    </row>
    <row r="1066" spans="1:39" x14ac:dyDescent="0.15">
      <c r="A1066" s="327"/>
      <c r="B1066" s="320"/>
      <c r="C1066" s="320"/>
      <c r="D1066" s="320"/>
      <c r="E1066" s="320"/>
      <c r="F1066" s="320"/>
      <c r="G1066" s="320"/>
      <c r="H1066" s="320"/>
      <c r="I1066" s="320"/>
      <c r="J1066" s="320"/>
      <c r="K1066" s="320"/>
      <c r="L1066" s="320"/>
      <c r="M1066" s="320"/>
      <c r="N1066" s="320"/>
      <c r="O1066" s="321"/>
      <c r="P1066" s="321"/>
      <c r="Y1066" s="326"/>
      <c r="AB1066" s="326"/>
      <c r="AC1066" s="326"/>
      <c r="AD1066" s="326"/>
      <c r="AG1066" s="326"/>
      <c r="AH1066" s="326"/>
      <c r="AI1066" s="326"/>
      <c r="AL1066" s="326"/>
      <c r="AM1066" s="326"/>
    </row>
    <row r="1067" spans="1:39" x14ac:dyDescent="0.15">
      <c r="A1067" s="327"/>
      <c r="B1067" s="320"/>
      <c r="C1067" s="320"/>
      <c r="D1067" s="320"/>
      <c r="E1067" s="320"/>
      <c r="F1067" s="320"/>
      <c r="G1067" s="320"/>
      <c r="H1067" s="320"/>
      <c r="I1067" s="320"/>
      <c r="J1067" s="320"/>
      <c r="K1067" s="320"/>
      <c r="L1067" s="320"/>
      <c r="M1067" s="320"/>
      <c r="N1067" s="320"/>
      <c r="O1067" s="321"/>
      <c r="P1067" s="321"/>
      <c r="Y1067" s="326"/>
      <c r="AB1067" s="326"/>
      <c r="AC1067" s="326"/>
      <c r="AD1067" s="326"/>
      <c r="AG1067" s="326"/>
      <c r="AH1067" s="326"/>
      <c r="AI1067" s="326"/>
      <c r="AL1067" s="326"/>
      <c r="AM1067" s="326"/>
    </row>
    <row r="1068" spans="1:39" x14ac:dyDescent="0.15">
      <c r="A1068" s="327"/>
      <c r="B1068" s="320"/>
      <c r="C1068" s="320"/>
      <c r="D1068" s="320"/>
      <c r="E1068" s="320"/>
      <c r="F1068" s="320"/>
      <c r="G1068" s="320"/>
      <c r="H1068" s="320"/>
      <c r="I1068" s="320"/>
      <c r="J1068" s="320"/>
      <c r="K1068" s="320"/>
      <c r="L1068" s="320"/>
      <c r="M1068" s="320"/>
      <c r="N1068" s="320"/>
      <c r="O1068" s="321"/>
      <c r="P1068" s="321"/>
      <c r="Y1068" s="326"/>
      <c r="AB1068" s="326"/>
      <c r="AC1068" s="326"/>
      <c r="AD1068" s="326"/>
      <c r="AG1068" s="326"/>
      <c r="AH1068" s="326"/>
      <c r="AI1068" s="326"/>
      <c r="AL1068" s="326"/>
      <c r="AM1068" s="326"/>
    </row>
    <row r="1069" spans="1:39" x14ac:dyDescent="0.15">
      <c r="A1069" s="327"/>
      <c r="B1069" s="320"/>
      <c r="C1069" s="320"/>
      <c r="D1069" s="320"/>
      <c r="E1069" s="320"/>
      <c r="F1069" s="320"/>
      <c r="G1069" s="320"/>
      <c r="H1069" s="320"/>
      <c r="I1069" s="320"/>
      <c r="J1069" s="320"/>
      <c r="K1069" s="320"/>
      <c r="L1069" s="320"/>
      <c r="M1069" s="320"/>
      <c r="N1069" s="320"/>
      <c r="O1069" s="321"/>
      <c r="P1069" s="321"/>
      <c r="Y1069" s="326"/>
      <c r="AB1069" s="326"/>
      <c r="AC1069" s="326"/>
      <c r="AD1069" s="326"/>
      <c r="AG1069" s="326"/>
      <c r="AH1069" s="326"/>
      <c r="AI1069" s="326"/>
      <c r="AL1069" s="326"/>
      <c r="AM1069" s="326"/>
    </row>
    <row r="1070" spans="1:39" x14ac:dyDescent="0.15">
      <c r="A1070" s="327"/>
      <c r="B1070" s="320"/>
      <c r="C1070" s="320"/>
      <c r="D1070" s="320"/>
      <c r="E1070" s="320"/>
      <c r="F1070" s="320"/>
      <c r="G1070" s="320"/>
      <c r="H1070" s="320"/>
      <c r="I1070" s="320"/>
      <c r="J1070" s="320"/>
      <c r="K1070" s="320"/>
      <c r="L1070" s="320"/>
      <c r="M1070" s="320"/>
      <c r="N1070" s="320"/>
      <c r="O1070" s="321"/>
      <c r="P1070" s="321"/>
      <c r="Y1070" s="326"/>
      <c r="AB1070" s="326"/>
      <c r="AC1070" s="326"/>
      <c r="AD1070" s="326"/>
      <c r="AG1070" s="326"/>
      <c r="AH1070" s="326"/>
      <c r="AI1070" s="326"/>
      <c r="AL1070" s="326"/>
      <c r="AM1070" s="326"/>
    </row>
    <row r="1071" spans="1:39" x14ac:dyDescent="0.15">
      <c r="A1071" s="327"/>
      <c r="B1071" s="320"/>
      <c r="C1071" s="320"/>
      <c r="D1071" s="320"/>
      <c r="E1071" s="320"/>
      <c r="F1071" s="320"/>
      <c r="G1071" s="320"/>
      <c r="H1071" s="320"/>
      <c r="I1071" s="320"/>
      <c r="J1071" s="320"/>
      <c r="K1071" s="320"/>
      <c r="L1071" s="320"/>
      <c r="M1071" s="320"/>
      <c r="N1071" s="320"/>
      <c r="O1071" s="321"/>
      <c r="P1071" s="321"/>
      <c r="Y1071" s="326"/>
      <c r="AB1071" s="326"/>
      <c r="AC1071" s="326"/>
      <c r="AD1071" s="326"/>
      <c r="AG1071" s="326"/>
      <c r="AH1071" s="326"/>
      <c r="AI1071" s="326"/>
      <c r="AL1071" s="326"/>
      <c r="AM1071" s="326"/>
    </row>
    <row r="1072" spans="1:39" x14ac:dyDescent="0.15">
      <c r="A1072" s="327"/>
      <c r="B1072" s="320"/>
      <c r="C1072" s="320"/>
      <c r="D1072" s="320"/>
      <c r="E1072" s="320"/>
      <c r="F1072" s="320"/>
      <c r="G1072" s="320"/>
      <c r="H1072" s="320"/>
      <c r="I1072" s="320"/>
      <c r="J1072" s="320"/>
      <c r="K1072" s="320"/>
      <c r="L1072" s="320"/>
      <c r="M1072" s="320"/>
      <c r="N1072" s="320"/>
      <c r="O1072" s="321"/>
      <c r="P1072" s="321"/>
      <c r="Y1072" s="326"/>
      <c r="AB1072" s="326"/>
      <c r="AC1072" s="326"/>
      <c r="AD1072" s="326"/>
      <c r="AG1072" s="326"/>
      <c r="AH1072" s="326"/>
      <c r="AI1072" s="326"/>
      <c r="AL1072" s="326"/>
      <c r="AM1072" s="326"/>
    </row>
    <row r="1073" spans="1:39" x14ac:dyDescent="0.15">
      <c r="A1073" s="327"/>
      <c r="B1073" s="320"/>
      <c r="C1073" s="320"/>
      <c r="D1073" s="320"/>
      <c r="E1073" s="320"/>
      <c r="F1073" s="320"/>
      <c r="G1073" s="320"/>
      <c r="H1073" s="320"/>
      <c r="I1073" s="320"/>
      <c r="J1073" s="320"/>
      <c r="K1073" s="320"/>
      <c r="L1073" s="320"/>
      <c r="M1073" s="320"/>
      <c r="N1073" s="320"/>
      <c r="O1073" s="321"/>
      <c r="P1073" s="321"/>
      <c r="Y1073" s="326"/>
      <c r="AB1073" s="326"/>
      <c r="AC1073" s="326"/>
      <c r="AD1073" s="326"/>
      <c r="AG1073" s="326"/>
      <c r="AH1073" s="326"/>
      <c r="AI1073" s="326"/>
      <c r="AL1073" s="326"/>
      <c r="AM1073" s="326"/>
    </row>
    <row r="1074" spans="1:39" x14ac:dyDescent="0.15">
      <c r="A1074" s="327"/>
      <c r="B1074" s="320"/>
      <c r="C1074" s="320"/>
      <c r="D1074" s="320"/>
      <c r="E1074" s="320"/>
      <c r="F1074" s="320"/>
      <c r="G1074" s="320"/>
      <c r="H1074" s="320"/>
      <c r="I1074" s="320"/>
      <c r="J1074" s="320"/>
      <c r="K1074" s="320"/>
      <c r="L1074" s="320"/>
      <c r="M1074" s="320"/>
      <c r="N1074" s="320"/>
      <c r="O1074" s="321"/>
      <c r="P1074" s="321"/>
      <c r="Y1074" s="326"/>
      <c r="AB1074" s="326"/>
      <c r="AC1074" s="326"/>
      <c r="AD1074" s="326"/>
      <c r="AG1074" s="326"/>
      <c r="AH1074" s="326"/>
      <c r="AI1074" s="326"/>
      <c r="AL1074" s="326"/>
      <c r="AM1074" s="326"/>
    </row>
    <row r="1075" spans="1:39" x14ac:dyDescent="0.15">
      <c r="A1075" s="327"/>
      <c r="B1075" s="320"/>
      <c r="C1075" s="320"/>
      <c r="D1075" s="320"/>
      <c r="E1075" s="320"/>
      <c r="F1075" s="320"/>
      <c r="G1075" s="320"/>
      <c r="H1075" s="320"/>
      <c r="I1075" s="320"/>
      <c r="J1075" s="320"/>
      <c r="K1075" s="320"/>
      <c r="L1075" s="320"/>
      <c r="M1075" s="320"/>
      <c r="N1075" s="320"/>
      <c r="O1075" s="321"/>
      <c r="P1075" s="321"/>
      <c r="Y1075" s="326"/>
      <c r="AB1075" s="326"/>
      <c r="AC1075" s="326"/>
      <c r="AD1075" s="326"/>
      <c r="AG1075" s="326"/>
      <c r="AH1075" s="326"/>
      <c r="AI1075" s="326"/>
      <c r="AL1075" s="326"/>
      <c r="AM1075" s="326"/>
    </row>
    <row r="1076" spans="1:39" x14ac:dyDescent="0.15">
      <c r="A1076" s="327"/>
      <c r="B1076" s="320"/>
      <c r="C1076" s="320"/>
      <c r="D1076" s="320"/>
      <c r="E1076" s="320"/>
      <c r="F1076" s="320"/>
      <c r="G1076" s="320"/>
      <c r="H1076" s="320"/>
      <c r="I1076" s="320"/>
      <c r="J1076" s="320"/>
      <c r="K1076" s="320"/>
      <c r="L1076" s="320"/>
      <c r="M1076" s="320"/>
      <c r="N1076" s="320"/>
      <c r="O1076" s="321"/>
      <c r="P1076" s="321"/>
      <c r="Y1076" s="326"/>
      <c r="AB1076" s="326"/>
      <c r="AC1076" s="326"/>
      <c r="AD1076" s="326"/>
      <c r="AG1076" s="326"/>
      <c r="AH1076" s="326"/>
      <c r="AI1076" s="326"/>
      <c r="AL1076" s="326"/>
      <c r="AM1076" s="326"/>
    </row>
    <row r="1077" spans="1:39" x14ac:dyDescent="0.15">
      <c r="A1077" s="327"/>
      <c r="B1077" s="320"/>
      <c r="C1077" s="320"/>
      <c r="D1077" s="320"/>
      <c r="E1077" s="320"/>
      <c r="F1077" s="320"/>
      <c r="G1077" s="320"/>
      <c r="H1077" s="320"/>
      <c r="I1077" s="320"/>
      <c r="J1077" s="320"/>
      <c r="K1077" s="320"/>
      <c r="L1077" s="320"/>
      <c r="M1077" s="320"/>
      <c r="N1077" s="320"/>
      <c r="O1077" s="321"/>
      <c r="P1077" s="321"/>
      <c r="Y1077" s="326"/>
      <c r="AB1077" s="326"/>
      <c r="AC1077" s="326"/>
      <c r="AD1077" s="326"/>
      <c r="AG1077" s="326"/>
      <c r="AH1077" s="326"/>
      <c r="AI1077" s="326"/>
      <c r="AL1077" s="326"/>
      <c r="AM1077" s="326"/>
    </row>
    <row r="1078" spans="1:39" x14ac:dyDescent="0.15">
      <c r="A1078" s="327"/>
      <c r="B1078" s="320"/>
      <c r="C1078" s="320"/>
      <c r="D1078" s="320"/>
      <c r="E1078" s="320"/>
      <c r="F1078" s="320"/>
      <c r="G1078" s="320"/>
      <c r="H1078" s="320"/>
      <c r="I1078" s="320"/>
      <c r="J1078" s="320"/>
      <c r="K1078" s="320"/>
      <c r="L1078" s="320"/>
      <c r="M1078" s="320"/>
      <c r="N1078" s="320"/>
      <c r="O1078" s="321"/>
      <c r="P1078" s="321"/>
      <c r="Y1078" s="326"/>
      <c r="AB1078" s="326"/>
      <c r="AC1078" s="326"/>
      <c r="AD1078" s="326"/>
      <c r="AG1078" s="326"/>
      <c r="AH1078" s="326"/>
      <c r="AI1078" s="326"/>
      <c r="AL1078" s="326"/>
      <c r="AM1078" s="326"/>
    </row>
    <row r="1079" spans="1:39" x14ac:dyDescent="0.15">
      <c r="A1079" s="327"/>
      <c r="B1079" s="320"/>
      <c r="C1079" s="320"/>
      <c r="D1079" s="320"/>
      <c r="E1079" s="320"/>
      <c r="F1079" s="320"/>
      <c r="G1079" s="320"/>
      <c r="H1079" s="320"/>
      <c r="I1079" s="320"/>
      <c r="J1079" s="320"/>
      <c r="K1079" s="320"/>
      <c r="L1079" s="320"/>
      <c r="M1079" s="320"/>
      <c r="N1079" s="320"/>
      <c r="O1079" s="321"/>
      <c r="P1079" s="321"/>
      <c r="Y1079" s="326"/>
      <c r="AB1079" s="326"/>
      <c r="AC1079" s="326"/>
      <c r="AD1079" s="326"/>
      <c r="AG1079" s="326"/>
      <c r="AH1079" s="326"/>
      <c r="AI1079" s="326"/>
      <c r="AL1079" s="326"/>
      <c r="AM1079" s="326"/>
    </row>
    <row r="1080" spans="1:39" x14ac:dyDescent="0.15">
      <c r="A1080" s="327"/>
      <c r="B1080" s="320"/>
      <c r="C1080" s="320"/>
      <c r="D1080" s="320"/>
      <c r="E1080" s="320"/>
      <c r="F1080" s="320"/>
      <c r="G1080" s="320"/>
      <c r="H1080" s="320"/>
      <c r="I1080" s="320"/>
      <c r="J1080" s="320"/>
      <c r="K1080" s="320"/>
      <c r="L1080" s="320"/>
      <c r="M1080" s="320"/>
      <c r="N1080" s="320"/>
      <c r="O1080" s="321"/>
      <c r="P1080" s="321"/>
      <c r="Y1080" s="326"/>
      <c r="AB1080" s="326"/>
      <c r="AC1080" s="326"/>
      <c r="AD1080" s="326"/>
      <c r="AG1080" s="326"/>
      <c r="AH1080" s="326"/>
      <c r="AI1080" s="326"/>
      <c r="AL1080" s="326"/>
      <c r="AM1080" s="326"/>
    </row>
    <row r="1081" spans="1:39" x14ac:dyDescent="0.15">
      <c r="A1081" s="327"/>
      <c r="B1081" s="320"/>
      <c r="C1081" s="320"/>
      <c r="D1081" s="320"/>
      <c r="E1081" s="320"/>
      <c r="F1081" s="320"/>
      <c r="G1081" s="320"/>
      <c r="H1081" s="320"/>
      <c r="I1081" s="320"/>
      <c r="J1081" s="320"/>
      <c r="K1081" s="320"/>
      <c r="L1081" s="320"/>
      <c r="M1081" s="320"/>
      <c r="N1081" s="320"/>
      <c r="O1081" s="321"/>
      <c r="P1081" s="321"/>
      <c r="Y1081" s="326"/>
      <c r="AB1081" s="326"/>
      <c r="AC1081" s="326"/>
      <c r="AD1081" s="326"/>
      <c r="AG1081" s="326"/>
      <c r="AH1081" s="326"/>
      <c r="AI1081" s="326"/>
      <c r="AL1081" s="326"/>
      <c r="AM1081" s="326"/>
    </row>
    <row r="1082" spans="1:39" x14ac:dyDescent="0.15">
      <c r="A1082" s="327"/>
      <c r="B1082" s="320"/>
      <c r="C1082" s="320"/>
      <c r="D1082" s="320"/>
      <c r="E1082" s="320"/>
      <c r="F1082" s="320"/>
      <c r="G1082" s="320"/>
      <c r="H1082" s="320"/>
      <c r="I1082" s="320"/>
      <c r="J1082" s="320"/>
      <c r="K1082" s="320"/>
      <c r="L1082" s="320"/>
      <c r="M1082" s="320"/>
      <c r="N1082" s="320"/>
      <c r="O1082" s="321"/>
      <c r="P1082" s="321"/>
      <c r="Y1082" s="326"/>
      <c r="AB1082" s="326"/>
      <c r="AC1082" s="326"/>
      <c r="AD1082" s="326"/>
      <c r="AG1082" s="326"/>
      <c r="AH1082" s="326"/>
      <c r="AI1082" s="326"/>
      <c r="AL1082" s="326"/>
      <c r="AM1082" s="326"/>
    </row>
    <row r="1083" spans="1:39" x14ac:dyDescent="0.15">
      <c r="A1083" s="327"/>
      <c r="B1083" s="320"/>
      <c r="C1083" s="320"/>
      <c r="D1083" s="320"/>
      <c r="E1083" s="320"/>
      <c r="F1083" s="320"/>
      <c r="G1083" s="320"/>
      <c r="H1083" s="320"/>
      <c r="I1083" s="320"/>
      <c r="J1083" s="320"/>
      <c r="K1083" s="320"/>
      <c r="L1083" s="320"/>
      <c r="M1083" s="320"/>
      <c r="N1083" s="320"/>
      <c r="O1083" s="321"/>
      <c r="P1083" s="321"/>
      <c r="Y1083" s="326"/>
      <c r="AB1083" s="326"/>
      <c r="AC1083" s="326"/>
      <c r="AD1083" s="326"/>
      <c r="AG1083" s="326"/>
      <c r="AH1083" s="326"/>
      <c r="AI1083" s="326"/>
      <c r="AL1083" s="326"/>
      <c r="AM1083" s="326"/>
    </row>
    <row r="1084" spans="1:39" x14ac:dyDescent="0.15">
      <c r="A1084" s="327"/>
      <c r="B1084" s="320"/>
      <c r="C1084" s="320"/>
      <c r="D1084" s="320"/>
      <c r="E1084" s="320"/>
      <c r="F1084" s="320"/>
      <c r="G1084" s="320"/>
      <c r="H1084" s="320"/>
      <c r="I1084" s="320"/>
      <c r="J1084" s="320"/>
      <c r="K1084" s="320"/>
      <c r="L1084" s="320"/>
      <c r="M1084" s="320"/>
      <c r="N1084" s="320"/>
      <c r="O1084" s="321"/>
      <c r="P1084" s="321"/>
      <c r="Y1084" s="326"/>
      <c r="AB1084" s="326"/>
      <c r="AC1084" s="326"/>
      <c r="AD1084" s="326"/>
      <c r="AG1084" s="326"/>
      <c r="AH1084" s="326"/>
      <c r="AI1084" s="326"/>
      <c r="AL1084" s="326"/>
      <c r="AM1084" s="326"/>
    </row>
    <row r="1085" spans="1:39" x14ac:dyDescent="0.15">
      <c r="A1085" s="327"/>
      <c r="B1085" s="320"/>
      <c r="C1085" s="320"/>
      <c r="D1085" s="320"/>
      <c r="E1085" s="320"/>
      <c r="F1085" s="320"/>
      <c r="G1085" s="320"/>
      <c r="H1085" s="320"/>
      <c r="I1085" s="320"/>
      <c r="J1085" s="320"/>
      <c r="K1085" s="320"/>
      <c r="L1085" s="320"/>
      <c r="M1085" s="320"/>
      <c r="N1085" s="320"/>
      <c r="O1085" s="321"/>
      <c r="P1085" s="321"/>
      <c r="Y1085" s="326"/>
      <c r="AB1085" s="326"/>
      <c r="AC1085" s="326"/>
      <c r="AD1085" s="326"/>
      <c r="AG1085" s="326"/>
      <c r="AH1085" s="326"/>
      <c r="AI1085" s="326"/>
      <c r="AL1085" s="326"/>
      <c r="AM1085" s="326"/>
    </row>
    <row r="1086" spans="1:39" x14ac:dyDescent="0.15">
      <c r="A1086" s="327"/>
      <c r="B1086" s="320"/>
      <c r="C1086" s="320"/>
      <c r="D1086" s="320"/>
      <c r="E1086" s="320"/>
      <c r="F1086" s="320"/>
      <c r="G1086" s="320"/>
      <c r="H1086" s="320"/>
      <c r="I1086" s="320"/>
      <c r="J1086" s="320"/>
      <c r="K1086" s="320"/>
      <c r="L1086" s="320"/>
      <c r="M1086" s="320"/>
      <c r="N1086" s="320"/>
      <c r="O1086" s="321"/>
      <c r="P1086" s="321"/>
      <c r="Y1086" s="326"/>
      <c r="AB1086" s="326"/>
      <c r="AC1086" s="326"/>
      <c r="AD1086" s="326"/>
      <c r="AG1086" s="326"/>
      <c r="AH1086" s="326"/>
      <c r="AI1086" s="326"/>
      <c r="AL1086" s="326"/>
      <c r="AM1086" s="326"/>
    </row>
    <row r="1087" spans="1:39" x14ac:dyDescent="0.15">
      <c r="A1087" s="327"/>
      <c r="B1087" s="320"/>
      <c r="C1087" s="320"/>
      <c r="D1087" s="320"/>
      <c r="E1087" s="320"/>
      <c r="F1087" s="320"/>
      <c r="G1087" s="320"/>
      <c r="H1087" s="320"/>
      <c r="I1087" s="320"/>
      <c r="J1087" s="320"/>
      <c r="K1087" s="320"/>
      <c r="L1087" s="320"/>
      <c r="M1087" s="320"/>
      <c r="N1087" s="320"/>
      <c r="O1087" s="321"/>
      <c r="P1087" s="321"/>
      <c r="Y1087" s="326"/>
      <c r="AB1087" s="326"/>
      <c r="AC1087" s="326"/>
      <c r="AD1087" s="326"/>
      <c r="AG1087" s="326"/>
      <c r="AH1087" s="326"/>
      <c r="AI1087" s="326"/>
      <c r="AL1087" s="326"/>
      <c r="AM1087" s="326"/>
    </row>
    <row r="1088" spans="1:39" x14ac:dyDescent="0.15">
      <c r="A1088" s="327"/>
      <c r="B1088" s="320"/>
      <c r="C1088" s="320"/>
      <c r="D1088" s="320"/>
      <c r="E1088" s="320"/>
      <c r="F1088" s="320"/>
      <c r="G1088" s="320"/>
      <c r="H1088" s="320"/>
      <c r="I1088" s="320"/>
      <c r="J1088" s="320"/>
      <c r="K1088" s="320"/>
      <c r="L1088" s="320"/>
      <c r="M1088" s="320"/>
      <c r="N1088" s="320"/>
      <c r="O1088" s="321"/>
      <c r="P1088" s="321"/>
      <c r="Y1088" s="326"/>
      <c r="AB1088" s="326"/>
      <c r="AC1088" s="326"/>
      <c r="AD1088" s="326"/>
      <c r="AG1088" s="326"/>
      <c r="AH1088" s="326"/>
      <c r="AI1088" s="326"/>
      <c r="AL1088" s="326"/>
      <c r="AM1088" s="326"/>
    </row>
    <row r="1089" spans="1:39" x14ac:dyDescent="0.15">
      <c r="A1089" s="327"/>
      <c r="B1089" s="320"/>
      <c r="C1089" s="320"/>
      <c r="D1089" s="320"/>
      <c r="E1089" s="320"/>
      <c r="F1089" s="320"/>
      <c r="G1089" s="320"/>
      <c r="H1089" s="320"/>
      <c r="I1089" s="320"/>
      <c r="J1089" s="320"/>
      <c r="K1089" s="320"/>
      <c r="L1089" s="320"/>
      <c r="M1089" s="320"/>
      <c r="N1089" s="320"/>
      <c r="O1089" s="321"/>
      <c r="P1089" s="321"/>
      <c r="Y1089" s="326"/>
      <c r="AB1089" s="326"/>
      <c r="AC1089" s="326"/>
      <c r="AD1089" s="326"/>
      <c r="AG1089" s="326"/>
      <c r="AH1089" s="326"/>
      <c r="AI1089" s="326"/>
      <c r="AL1089" s="326"/>
      <c r="AM1089" s="326"/>
    </row>
    <row r="1090" spans="1:39" x14ac:dyDescent="0.15">
      <c r="A1090" s="327"/>
      <c r="B1090" s="320"/>
      <c r="C1090" s="320"/>
      <c r="D1090" s="320"/>
      <c r="E1090" s="320"/>
      <c r="F1090" s="320"/>
      <c r="G1090" s="320"/>
      <c r="H1090" s="320"/>
      <c r="I1090" s="320"/>
      <c r="J1090" s="320"/>
      <c r="K1090" s="320"/>
      <c r="L1090" s="320"/>
      <c r="M1090" s="320"/>
      <c r="N1090" s="320"/>
      <c r="O1090" s="321"/>
      <c r="P1090" s="321"/>
      <c r="Y1090" s="326"/>
      <c r="AB1090" s="326"/>
      <c r="AC1090" s="326"/>
      <c r="AD1090" s="326"/>
      <c r="AG1090" s="326"/>
      <c r="AH1090" s="326"/>
      <c r="AI1090" s="326"/>
      <c r="AL1090" s="326"/>
      <c r="AM1090" s="326"/>
    </row>
    <row r="1091" spans="1:39" x14ac:dyDescent="0.15">
      <c r="A1091" s="327"/>
      <c r="B1091" s="320"/>
      <c r="C1091" s="320"/>
      <c r="D1091" s="320"/>
      <c r="E1091" s="320"/>
      <c r="F1091" s="320"/>
      <c r="G1091" s="320"/>
      <c r="H1091" s="320"/>
      <c r="I1091" s="320"/>
      <c r="J1091" s="320"/>
      <c r="K1091" s="320"/>
      <c r="L1091" s="320"/>
      <c r="M1091" s="320"/>
      <c r="N1091" s="320"/>
      <c r="O1091" s="321"/>
      <c r="P1091" s="321"/>
      <c r="Y1091" s="326"/>
      <c r="AB1091" s="326"/>
      <c r="AC1091" s="326"/>
      <c r="AD1091" s="326"/>
      <c r="AG1091" s="326"/>
      <c r="AH1091" s="326"/>
      <c r="AI1091" s="326"/>
      <c r="AL1091" s="326"/>
      <c r="AM1091" s="326"/>
    </row>
    <row r="1092" spans="1:39" x14ac:dyDescent="0.15">
      <c r="A1092" s="327"/>
      <c r="B1092" s="320"/>
      <c r="C1092" s="320"/>
      <c r="D1092" s="320"/>
      <c r="E1092" s="320"/>
      <c r="F1092" s="320"/>
      <c r="G1092" s="320"/>
      <c r="H1092" s="320"/>
      <c r="I1092" s="320"/>
      <c r="J1092" s="320"/>
      <c r="K1092" s="320"/>
      <c r="L1092" s="320"/>
      <c r="M1092" s="320"/>
      <c r="N1092" s="320"/>
      <c r="O1092" s="321"/>
      <c r="P1092" s="321"/>
      <c r="Y1092" s="326"/>
      <c r="AB1092" s="326"/>
      <c r="AC1092" s="326"/>
      <c r="AD1092" s="326"/>
      <c r="AG1092" s="326"/>
      <c r="AH1092" s="326"/>
      <c r="AI1092" s="326"/>
      <c r="AL1092" s="326"/>
      <c r="AM1092" s="326"/>
    </row>
    <row r="1093" spans="1:39" x14ac:dyDescent="0.15">
      <c r="A1093" s="327"/>
      <c r="B1093" s="320"/>
      <c r="C1093" s="320"/>
      <c r="D1093" s="320"/>
      <c r="E1093" s="320"/>
      <c r="F1093" s="320"/>
      <c r="G1093" s="320"/>
      <c r="H1093" s="320"/>
      <c r="I1093" s="320"/>
      <c r="J1093" s="320"/>
      <c r="K1093" s="320"/>
      <c r="L1093" s="320"/>
      <c r="M1093" s="320"/>
      <c r="N1093" s="320"/>
      <c r="O1093" s="321"/>
      <c r="P1093" s="321"/>
      <c r="Y1093" s="326"/>
      <c r="AB1093" s="326"/>
      <c r="AC1093" s="326"/>
      <c r="AD1093" s="326"/>
      <c r="AG1093" s="326"/>
      <c r="AH1093" s="326"/>
      <c r="AI1093" s="326"/>
      <c r="AL1093" s="326"/>
      <c r="AM1093" s="326"/>
    </row>
    <row r="1094" spans="1:39" x14ac:dyDescent="0.15">
      <c r="A1094" s="327"/>
      <c r="B1094" s="320"/>
      <c r="C1094" s="320"/>
      <c r="D1094" s="320"/>
      <c r="E1094" s="320"/>
      <c r="F1094" s="320"/>
      <c r="G1094" s="320"/>
      <c r="H1094" s="320"/>
      <c r="I1094" s="320"/>
      <c r="J1094" s="320"/>
      <c r="K1094" s="320"/>
      <c r="L1094" s="320"/>
      <c r="M1094" s="320"/>
      <c r="N1094" s="320"/>
      <c r="O1094" s="321"/>
      <c r="P1094" s="321"/>
      <c r="Y1094" s="326"/>
      <c r="AB1094" s="326"/>
      <c r="AC1094" s="326"/>
      <c r="AD1094" s="326"/>
      <c r="AG1094" s="326"/>
      <c r="AH1094" s="326"/>
      <c r="AI1094" s="326"/>
      <c r="AL1094" s="326"/>
      <c r="AM1094" s="326"/>
    </row>
    <row r="1095" spans="1:39" x14ac:dyDescent="0.15">
      <c r="A1095" s="327"/>
      <c r="B1095" s="320"/>
      <c r="C1095" s="320"/>
      <c r="D1095" s="320"/>
      <c r="E1095" s="320"/>
      <c r="F1095" s="320"/>
      <c r="G1095" s="320"/>
      <c r="H1095" s="320"/>
      <c r="I1095" s="320"/>
      <c r="J1095" s="320"/>
      <c r="K1095" s="320"/>
      <c r="L1095" s="320"/>
      <c r="M1095" s="320"/>
      <c r="N1095" s="320"/>
      <c r="O1095" s="321"/>
      <c r="P1095" s="321"/>
      <c r="Y1095" s="326"/>
      <c r="AB1095" s="326"/>
      <c r="AC1095" s="326"/>
      <c r="AD1095" s="326"/>
      <c r="AG1095" s="326"/>
      <c r="AH1095" s="326"/>
      <c r="AI1095" s="326"/>
      <c r="AL1095" s="326"/>
      <c r="AM1095" s="326"/>
    </row>
    <row r="1096" spans="1:39" x14ac:dyDescent="0.15">
      <c r="A1096" s="327"/>
      <c r="B1096" s="320"/>
      <c r="C1096" s="320"/>
      <c r="D1096" s="320"/>
      <c r="E1096" s="320"/>
      <c r="F1096" s="320"/>
      <c r="G1096" s="320"/>
      <c r="H1096" s="320"/>
      <c r="I1096" s="320"/>
      <c r="J1096" s="320"/>
      <c r="K1096" s="320"/>
      <c r="L1096" s="320"/>
      <c r="M1096" s="320"/>
      <c r="N1096" s="320"/>
      <c r="O1096" s="321"/>
      <c r="P1096" s="321"/>
      <c r="Y1096" s="326"/>
      <c r="AB1096" s="326"/>
      <c r="AC1096" s="326"/>
      <c r="AD1096" s="326"/>
      <c r="AG1096" s="326"/>
      <c r="AH1096" s="326"/>
      <c r="AI1096" s="326"/>
      <c r="AL1096" s="326"/>
      <c r="AM1096" s="326"/>
    </row>
    <row r="1097" spans="1:39" x14ac:dyDescent="0.15">
      <c r="A1097" s="327"/>
      <c r="B1097" s="320"/>
      <c r="C1097" s="320"/>
      <c r="D1097" s="320"/>
      <c r="E1097" s="320"/>
      <c r="F1097" s="320"/>
      <c r="G1097" s="320"/>
      <c r="H1097" s="320"/>
      <c r="I1097" s="320"/>
      <c r="J1097" s="320"/>
      <c r="K1097" s="320"/>
      <c r="L1097" s="320"/>
      <c r="M1097" s="320"/>
      <c r="N1097" s="320"/>
      <c r="O1097" s="321"/>
      <c r="P1097" s="321"/>
      <c r="Y1097" s="326"/>
      <c r="AB1097" s="326"/>
      <c r="AC1097" s="326"/>
      <c r="AD1097" s="326"/>
      <c r="AG1097" s="326"/>
      <c r="AH1097" s="326"/>
      <c r="AI1097" s="326"/>
      <c r="AL1097" s="326"/>
      <c r="AM1097" s="326"/>
    </row>
    <row r="1098" spans="1:39" x14ac:dyDescent="0.15">
      <c r="A1098" s="327"/>
      <c r="B1098" s="320"/>
      <c r="C1098" s="320"/>
      <c r="D1098" s="320"/>
      <c r="E1098" s="320"/>
      <c r="F1098" s="320"/>
      <c r="G1098" s="320"/>
      <c r="H1098" s="320"/>
      <c r="I1098" s="320"/>
      <c r="J1098" s="320"/>
      <c r="K1098" s="320"/>
      <c r="L1098" s="320"/>
      <c r="M1098" s="320"/>
      <c r="N1098" s="320"/>
      <c r="O1098" s="321"/>
      <c r="P1098" s="321"/>
      <c r="Y1098" s="326"/>
      <c r="AB1098" s="326"/>
      <c r="AC1098" s="326"/>
      <c r="AD1098" s="326"/>
      <c r="AG1098" s="326"/>
      <c r="AH1098" s="326"/>
      <c r="AI1098" s="326"/>
      <c r="AL1098" s="326"/>
      <c r="AM1098" s="326"/>
    </row>
    <row r="1099" spans="1:39" x14ac:dyDescent="0.15">
      <c r="A1099" s="327"/>
      <c r="B1099" s="320"/>
      <c r="C1099" s="320"/>
      <c r="D1099" s="320"/>
      <c r="E1099" s="320"/>
      <c r="F1099" s="320"/>
      <c r="G1099" s="320"/>
      <c r="H1099" s="320"/>
      <c r="I1099" s="320"/>
      <c r="J1099" s="320"/>
      <c r="K1099" s="320"/>
      <c r="L1099" s="320"/>
      <c r="M1099" s="320"/>
      <c r="N1099" s="320"/>
      <c r="O1099" s="321"/>
      <c r="P1099" s="321"/>
      <c r="Y1099" s="326"/>
      <c r="AB1099" s="326"/>
      <c r="AC1099" s="326"/>
      <c r="AD1099" s="326"/>
      <c r="AG1099" s="326"/>
      <c r="AH1099" s="326"/>
      <c r="AI1099" s="326"/>
      <c r="AL1099" s="326"/>
      <c r="AM1099" s="326"/>
    </row>
    <row r="1100" spans="1:39" x14ac:dyDescent="0.15">
      <c r="A1100" s="327"/>
      <c r="B1100" s="320"/>
      <c r="C1100" s="320"/>
      <c r="D1100" s="320"/>
      <c r="E1100" s="320"/>
      <c r="F1100" s="320"/>
      <c r="G1100" s="320"/>
      <c r="H1100" s="320"/>
      <c r="I1100" s="320"/>
      <c r="J1100" s="320"/>
      <c r="K1100" s="320"/>
      <c r="L1100" s="320"/>
      <c r="M1100" s="320"/>
      <c r="N1100" s="320"/>
      <c r="O1100" s="321"/>
      <c r="P1100" s="321"/>
      <c r="Y1100" s="326"/>
      <c r="AB1100" s="326"/>
      <c r="AC1100" s="326"/>
      <c r="AD1100" s="326"/>
      <c r="AG1100" s="326"/>
      <c r="AH1100" s="326"/>
      <c r="AI1100" s="326"/>
      <c r="AL1100" s="326"/>
      <c r="AM1100" s="326"/>
    </row>
    <row r="1101" spans="1:39" x14ac:dyDescent="0.15">
      <c r="A1101" s="327"/>
      <c r="B1101" s="320"/>
      <c r="C1101" s="320"/>
      <c r="D1101" s="320"/>
      <c r="E1101" s="320"/>
      <c r="F1101" s="320"/>
      <c r="G1101" s="320"/>
      <c r="H1101" s="320"/>
      <c r="I1101" s="320"/>
      <c r="J1101" s="320"/>
      <c r="K1101" s="320"/>
      <c r="L1101" s="320"/>
      <c r="M1101" s="320"/>
      <c r="N1101" s="320"/>
      <c r="O1101" s="321"/>
      <c r="P1101" s="321"/>
      <c r="Y1101" s="326"/>
      <c r="AB1101" s="326"/>
      <c r="AC1101" s="326"/>
      <c r="AD1101" s="326"/>
      <c r="AG1101" s="326"/>
      <c r="AH1101" s="326"/>
      <c r="AI1101" s="326"/>
      <c r="AL1101" s="326"/>
      <c r="AM1101" s="326"/>
    </row>
    <row r="1102" spans="1:39" x14ac:dyDescent="0.15">
      <c r="A1102" s="327"/>
      <c r="B1102" s="320"/>
      <c r="C1102" s="320"/>
      <c r="D1102" s="320"/>
      <c r="E1102" s="320"/>
      <c r="F1102" s="320"/>
      <c r="G1102" s="320"/>
      <c r="H1102" s="320"/>
      <c r="I1102" s="320"/>
      <c r="J1102" s="320"/>
      <c r="K1102" s="320"/>
      <c r="L1102" s="320"/>
      <c r="M1102" s="320"/>
      <c r="N1102" s="320"/>
      <c r="O1102" s="321"/>
      <c r="P1102" s="321"/>
      <c r="Y1102" s="326"/>
      <c r="AB1102" s="326"/>
      <c r="AC1102" s="326"/>
      <c r="AD1102" s="326"/>
      <c r="AG1102" s="326"/>
      <c r="AH1102" s="326"/>
      <c r="AI1102" s="326"/>
      <c r="AL1102" s="326"/>
      <c r="AM1102" s="326"/>
    </row>
    <row r="1103" spans="1:39" x14ac:dyDescent="0.15">
      <c r="A1103" s="327"/>
      <c r="B1103" s="320"/>
      <c r="C1103" s="320"/>
      <c r="D1103" s="320"/>
      <c r="E1103" s="320"/>
      <c r="F1103" s="320"/>
      <c r="G1103" s="320"/>
      <c r="H1103" s="320"/>
      <c r="I1103" s="320"/>
      <c r="J1103" s="320"/>
      <c r="K1103" s="320"/>
      <c r="L1103" s="320"/>
      <c r="M1103" s="320"/>
      <c r="N1103" s="320"/>
      <c r="O1103" s="321"/>
      <c r="P1103" s="321"/>
      <c r="Y1103" s="326"/>
      <c r="AB1103" s="326"/>
      <c r="AC1103" s="326"/>
      <c r="AD1103" s="326"/>
      <c r="AG1103" s="326"/>
      <c r="AH1103" s="326"/>
      <c r="AI1103" s="326"/>
      <c r="AL1103" s="326"/>
      <c r="AM1103" s="326"/>
    </row>
    <row r="1104" spans="1:39" x14ac:dyDescent="0.15">
      <c r="A1104" s="327"/>
      <c r="B1104" s="320"/>
      <c r="C1104" s="320"/>
      <c r="D1104" s="320"/>
      <c r="E1104" s="320"/>
      <c r="F1104" s="320"/>
      <c r="G1104" s="320"/>
      <c r="H1104" s="320"/>
      <c r="I1104" s="320"/>
      <c r="J1104" s="320"/>
      <c r="K1104" s="320"/>
      <c r="L1104" s="320"/>
      <c r="M1104" s="320"/>
      <c r="N1104" s="320"/>
      <c r="O1104" s="321"/>
      <c r="P1104" s="321"/>
      <c r="Y1104" s="326"/>
      <c r="AB1104" s="326"/>
      <c r="AC1104" s="326"/>
      <c r="AD1104" s="326"/>
      <c r="AG1104" s="326"/>
      <c r="AH1104" s="326"/>
      <c r="AI1104" s="326"/>
      <c r="AL1104" s="326"/>
      <c r="AM1104" s="326"/>
    </row>
    <row r="1105" spans="1:39" x14ac:dyDescent="0.15">
      <c r="A1105" s="327"/>
      <c r="B1105" s="320"/>
      <c r="C1105" s="320"/>
      <c r="D1105" s="320"/>
      <c r="E1105" s="320"/>
      <c r="F1105" s="320"/>
      <c r="G1105" s="320"/>
      <c r="H1105" s="320"/>
      <c r="I1105" s="320"/>
      <c r="J1105" s="320"/>
      <c r="K1105" s="320"/>
      <c r="L1105" s="320"/>
      <c r="M1105" s="320"/>
      <c r="N1105" s="320"/>
      <c r="O1105" s="321"/>
      <c r="P1105" s="321"/>
      <c r="Y1105" s="326"/>
      <c r="AB1105" s="326"/>
      <c r="AC1105" s="326"/>
      <c r="AD1105" s="326"/>
      <c r="AG1105" s="326"/>
      <c r="AH1105" s="326"/>
      <c r="AI1105" s="326"/>
      <c r="AL1105" s="326"/>
      <c r="AM1105" s="326"/>
    </row>
    <row r="1106" spans="1:39" x14ac:dyDescent="0.15">
      <c r="A1106" s="327"/>
      <c r="B1106" s="320"/>
      <c r="C1106" s="320"/>
      <c r="D1106" s="320"/>
      <c r="E1106" s="320"/>
      <c r="F1106" s="320"/>
      <c r="G1106" s="320"/>
      <c r="H1106" s="320"/>
      <c r="I1106" s="320"/>
      <c r="J1106" s="320"/>
      <c r="K1106" s="320"/>
      <c r="L1106" s="320"/>
      <c r="M1106" s="320"/>
      <c r="N1106" s="320"/>
      <c r="O1106" s="321"/>
      <c r="P1106" s="321"/>
      <c r="Y1106" s="326"/>
      <c r="AB1106" s="326"/>
      <c r="AC1106" s="326"/>
      <c r="AD1106" s="326"/>
      <c r="AG1106" s="326"/>
      <c r="AH1106" s="326"/>
      <c r="AI1106" s="326"/>
      <c r="AL1106" s="326"/>
      <c r="AM1106" s="326"/>
    </row>
    <row r="1107" spans="1:39" x14ac:dyDescent="0.15">
      <c r="A1107" s="327"/>
      <c r="B1107" s="320"/>
      <c r="C1107" s="320"/>
      <c r="D1107" s="320"/>
      <c r="E1107" s="320"/>
      <c r="F1107" s="320"/>
      <c r="G1107" s="320"/>
      <c r="H1107" s="320"/>
      <c r="I1107" s="320"/>
      <c r="J1107" s="320"/>
      <c r="K1107" s="320"/>
      <c r="L1107" s="320"/>
      <c r="M1107" s="320"/>
      <c r="N1107" s="320"/>
      <c r="O1107" s="321"/>
      <c r="P1107" s="321"/>
      <c r="Y1107" s="326"/>
      <c r="AB1107" s="326"/>
      <c r="AC1107" s="326"/>
      <c r="AD1107" s="326"/>
      <c r="AG1107" s="326"/>
      <c r="AH1107" s="326"/>
      <c r="AI1107" s="326"/>
      <c r="AL1107" s="326"/>
      <c r="AM1107" s="326"/>
    </row>
    <row r="1108" spans="1:39" x14ac:dyDescent="0.15">
      <c r="A1108" s="327"/>
      <c r="B1108" s="320"/>
      <c r="C1108" s="320"/>
      <c r="D1108" s="320"/>
      <c r="E1108" s="320"/>
      <c r="F1108" s="320"/>
      <c r="G1108" s="320"/>
      <c r="H1108" s="320"/>
      <c r="I1108" s="320"/>
      <c r="J1108" s="320"/>
      <c r="K1108" s="320"/>
      <c r="L1108" s="320"/>
      <c r="M1108" s="320"/>
      <c r="N1108" s="320"/>
      <c r="O1108" s="321"/>
      <c r="P1108" s="321"/>
      <c r="Y1108" s="326"/>
      <c r="AB1108" s="326"/>
      <c r="AC1108" s="326"/>
      <c r="AD1108" s="326"/>
      <c r="AG1108" s="326"/>
      <c r="AH1108" s="326"/>
      <c r="AI1108" s="326"/>
      <c r="AL1108" s="326"/>
      <c r="AM1108" s="326"/>
    </row>
    <row r="1109" spans="1:39" x14ac:dyDescent="0.15">
      <c r="A1109" s="327"/>
      <c r="B1109" s="320"/>
      <c r="C1109" s="320"/>
      <c r="D1109" s="320"/>
      <c r="E1109" s="320"/>
      <c r="F1109" s="320"/>
      <c r="G1109" s="320"/>
      <c r="H1109" s="320"/>
      <c r="I1109" s="320"/>
      <c r="J1109" s="320"/>
      <c r="K1109" s="320"/>
      <c r="L1109" s="320"/>
      <c r="M1109" s="320"/>
      <c r="N1109" s="320"/>
      <c r="O1109" s="321"/>
      <c r="P1109" s="321"/>
      <c r="Y1109" s="326"/>
      <c r="AB1109" s="326"/>
      <c r="AC1109" s="326"/>
      <c r="AD1109" s="326"/>
      <c r="AG1109" s="326"/>
      <c r="AH1109" s="326"/>
      <c r="AI1109" s="326"/>
      <c r="AL1109" s="326"/>
      <c r="AM1109" s="326"/>
    </row>
    <row r="1110" spans="1:39" x14ac:dyDescent="0.15">
      <c r="A1110" s="327"/>
      <c r="B1110" s="320"/>
      <c r="C1110" s="320"/>
      <c r="D1110" s="320"/>
      <c r="E1110" s="320"/>
      <c r="F1110" s="320"/>
      <c r="G1110" s="320"/>
      <c r="H1110" s="320"/>
      <c r="I1110" s="320"/>
      <c r="J1110" s="320"/>
      <c r="K1110" s="320"/>
      <c r="L1110" s="320"/>
      <c r="M1110" s="320"/>
      <c r="N1110" s="320"/>
      <c r="O1110" s="321"/>
      <c r="P1110" s="321"/>
      <c r="Y1110" s="326"/>
      <c r="AB1110" s="326"/>
      <c r="AC1110" s="326"/>
      <c r="AD1110" s="326"/>
      <c r="AG1110" s="326"/>
      <c r="AH1110" s="326"/>
      <c r="AI1110" s="326"/>
      <c r="AL1110" s="326"/>
      <c r="AM1110" s="326"/>
    </row>
    <row r="1111" spans="1:39" x14ac:dyDescent="0.15">
      <c r="A1111" s="327"/>
      <c r="B1111" s="320"/>
      <c r="C1111" s="320"/>
      <c r="D1111" s="320"/>
      <c r="E1111" s="320"/>
      <c r="F1111" s="320"/>
      <c r="G1111" s="320"/>
      <c r="H1111" s="320"/>
      <c r="I1111" s="320"/>
      <c r="J1111" s="320"/>
      <c r="K1111" s="320"/>
      <c r="L1111" s="320"/>
      <c r="M1111" s="320"/>
      <c r="N1111" s="320"/>
      <c r="O1111" s="321"/>
      <c r="P1111" s="321"/>
      <c r="Y1111" s="326"/>
      <c r="AB1111" s="326"/>
      <c r="AC1111" s="326"/>
      <c r="AD1111" s="326"/>
      <c r="AG1111" s="326"/>
      <c r="AH1111" s="326"/>
      <c r="AI1111" s="326"/>
      <c r="AL1111" s="326"/>
      <c r="AM1111" s="326"/>
    </row>
    <row r="1112" spans="1:39" x14ac:dyDescent="0.15">
      <c r="A1112" s="327"/>
      <c r="B1112" s="320"/>
      <c r="C1112" s="320"/>
      <c r="D1112" s="320"/>
      <c r="E1112" s="320"/>
      <c r="F1112" s="320"/>
      <c r="G1112" s="320"/>
      <c r="H1112" s="320"/>
      <c r="I1112" s="320"/>
      <c r="J1112" s="320"/>
      <c r="K1112" s="320"/>
      <c r="L1112" s="320"/>
      <c r="M1112" s="320"/>
      <c r="N1112" s="320"/>
      <c r="O1112" s="321"/>
      <c r="P1112" s="321"/>
      <c r="Y1112" s="326"/>
      <c r="AB1112" s="326"/>
      <c r="AC1112" s="326"/>
      <c r="AD1112" s="326"/>
      <c r="AG1112" s="326"/>
      <c r="AH1112" s="326"/>
      <c r="AI1112" s="326"/>
      <c r="AL1112" s="326"/>
      <c r="AM1112" s="326"/>
    </row>
    <row r="1113" spans="1:39" x14ac:dyDescent="0.15">
      <c r="A1113" s="327"/>
      <c r="B1113" s="320"/>
      <c r="C1113" s="320"/>
      <c r="D1113" s="320"/>
      <c r="E1113" s="320"/>
      <c r="F1113" s="320"/>
      <c r="G1113" s="320"/>
      <c r="H1113" s="320"/>
      <c r="I1113" s="320"/>
      <c r="J1113" s="320"/>
      <c r="K1113" s="320"/>
      <c r="L1113" s="320"/>
      <c r="M1113" s="320"/>
      <c r="N1113" s="320"/>
      <c r="O1113" s="321"/>
      <c r="P1113" s="321"/>
      <c r="Y1113" s="326"/>
      <c r="AB1113" s="326"/>
      <c r="AC1113" s="326"/>
      <c r="AD1113" s="326"/>
      <c r="AG1113" s="326"/>
      <c r="AH1113" s="326"/>
      <c r="AI1113" s="326"/>
      <c r="AL1113" s="326"/>
      <c r="AM1113" s="326"/>
    </row>
    <row r="1114" spans="1:39" x14ac:dyDescent="0.15">
      <c r="A1114" s="327"/>
      <c r="B1114" s="320"/>
      <c r="C1114" s="320"/>
      <c r="D1114" s="320"/>
      <c r="E1114" s="320"/>
      <c r="F1114" s="320"/>
      <c r="G1114" s="320"/>
      <c r="H1114" s="320"/>
      <c r="I1114" s="320"/>
      <c r="J1114" s="320"/>
      <c r="K1114" s="320"/>
      <c r="L1114" s="320"/>
      <c r="M1114" s="320"/>
      <c r="N1114" s="320"/>
      <c r="O1114" s="321"/>
      <c r="P1114" s="321"/>
      <c r="Y1114" s="326"/>
      <c r="AB1114" s="326"/>
      <c r="AC1114" s="326"/>
      <c r="AD1114" s="326"/>
      <c r="AG1114" s="326"/>
      <c r="AH1114" s="326"/>
      <c r="AI1114" s="326"/>
      <c r="AL1114" s="326"/>
      <c r="AM1114" s="326"/>
    </row>
    <row r="1115" spans="1:39" x14ac:dyDescent="0.15">
      <c r="A1115" s="327"/>
      <c r="B1115" s="320"/>
      <c r="C1115" s="320"/>
      <c r="D1115" s="320"/>
      <c r="E1115" s="320"/>
      <c r="F1115" s="320"/>
      <c r="G1115" s="320"/>
      <c r="H1115" s="320"/>
      <c r="I1115" s="320"/>
      <c r="J1115" s="320"/>
      <c r="K1115" s="320"/>
      <c r="L1115" s="320"/>
      <c r="M1115" s="320"/>
      <c r="N1115" s="320"/>
      <c r="O1115" s="321"/>
      <c r="P1115" s="321"/>
      <c r="Y1115" s="326"/>
      <c r="AB1115" s="326"/>
      <c r="AC1115" s="326"/>
      <c r="AD1115" s="326"/>
      <c r="AG1115" s="326"/>
      <c r="AH1115" s="326"/>
      <c r="AI1115" s="326"/>
      <c r="AL1115" s="326"/>
      <c r="AM1115" s="326"/>
    </row>
    <row r="1116" spans="1:39" x14ac:dyDescent="0.15">
      <c r="A1116" s="327"/>
      <c r="B1116" s="320"/>
      <c r="C1116" s="320"/>
      <c r="D1116" s="320"/>
      <c r="E1116" s="320"/>
      <c r="F1116" s="320"/>
      <c r="G1116" s="320"/>
      <c r="H1116" s="320"/>
      <c r="I1116" s="320"/>
      <c r="J1116" s="320"/>
      <c r="K1116" s="320"/>
      <c r="L1116" s="320"/>
      <c r="M1116" s="320"/>
      <c r="N1116" s="320"/>
      <c r="O1116" s="321"/>
      <c r="P1116" s="321"/>
      <c r="Y1116" s="326"/>
      <c r="AB1116" s="326"/>
      <c r="AC1116" s="326"/>
      <c r="AD1116" s="326"/>
      <c r="AG1116" s="326"/>
      <c r="AH1116" s="326"/>
      <c r="AI1116" s="326"/>
      <c r="AL1116" s="326"/>
      <c r="AM1116" s="326"/>
    </row>
    <row r="1117" spans="1:39" x14ac:dyDescent="0.15">
      <c r="A1117" s="327"/>
      <c r="B1117" s="320"/>
      <c r="C1117" s="320"/>
      <c r="D1117" s="320"/>
      <c r="E1117" s="320"/>
      <c r="F1117" s="320"/>
      <c r="G1117" s="320"/>
      <c r="H1117" s="320"/>
      <c r="I1117" s="320"/>
      <c r="J1117" s="320"/>
      <c r="K1117" s="320"/>
      <c r="L1117" s="320"/>
      <c r="M1117" s="320"/>
      <c r="N1117" s="320"/>
      <c r="O1117" s="321"/>
      <c r="P1117" s="321"/>
      <c r="Y1117" s="326"/>
      <c r="AB1117" s="326"/>
      <c r="AC1117" s="326"/>
      <c r="AD1117" s="326"/>
      <c r="AG1117" s="326"/>
      <c r="AH1117" s="326"/>
      <c r="AI1117" s="326"/>
      <c r="AL1117" s="326"/>
      <c r="AM1117" s="326"/>
    </row>
    <row r="1118" spans="1:39" x14ac:dyDescent="0.15">
      <c r="A1118" s="327"/>
      <c r="B1118" s="320"/>
      <c r="C1118" s="320"/>
      <c r="D1118" s="320"/>
      <c r="E1118" s="320"/>
      <c r="F1118" s="320"/>
      <c r="G1118" s="320"/>
      <c r="H1118" s="320"/>
      <c r="I1118" s="320"/>
      <c r="J1118" s="320"/>
      <c r="K1118" s="320"/>
      <c r="L1118" s="320"/>
      <c r="M1118" s="320"/>
      <c r="N1118" s="320"/>
      <c r="O1118" s="321"/>
      <c r="P1118" s="321"/>
      <c r="Y1118" s="326"/>
      <c r="AB1118" s="326"/>
      <c r="AC1118" s="326"/>
      <c r="AD1118" s="326"/>
      <c r="AG1118" s="326"/>
      <c r="AH1118" s="326"/>
      <c r="AI1118" s="326"/>
      <c r="AL1118" s="326"/>
      <c r="AM1118" s="326"/>
    </row>
    <row r="1119" spans="1:39" x14ac:dyDescent="0.15">
      <c r="A1119" s="327"/>
      <c r="B1119" s="320"/>
      <c r="C1119" s="320"/>
      <c r="D1119" s="320"/>
      <c r="E1119" s="320"/>
      <c r="F1119" s="320"/>
      <c r="G1119" s="320"/>
      <c r="H1119" s="320"/>
      <c r="I1119" s="320"/>
      <c r="J1119" s="320"/>
      <c r="K1119" s="320"/>
      <c r="L1119" s="320"/>
      <c r="M1119" s="320"/>
      <c r="N1119" s="320"/>
      <c r="O1119" s="321"/>
      <c r="P1119" s="321"/>
      <c r="Y1119" s="326"/>
      <c r="AB1119" s="326"/>
      <c r="AC1119" s="326"/>
      <c r="AD1119" s="326"/>
      <c r="AG1119" s="326"/>
      <c r="AH1119" s="326"/>
      <c r="AI1119" s="326"/>
      <c r="AL1119" s="326"/>
      <c r="AM1119" s="326"/>
    </row>
    <row r="1120" spans="1:39" x14ac:dyDescent="0.15">
      <c r="A1120" s="327"/>
      <c r="B1120" s="320"/>
      <c r="C1120" s="320"/>
      <c r="D1120" s="320"/>
      <c r="E1120" s="320"/>
      <c r="F1120" s="320"/>
      <c r="G1120" s="320"/>
      <c r="H1120" s="320"/>
      <c r="I1120" s="320"/>
      <c r="J1120" s="320"/>
      <c r="K1120" s="320"/>
      <c r="L1120" s="320"/>
      <c r="M1120" s="320"/>
      <c r="N1120" s="320"/>
      <c r="O1120" s="321"/>
      <c r="P1120" s="321"/>
      <c r="Y1120" s="326"/>
      <c r="AB1120" s="326"/>
      <c r="AC1120" s="326"/>
      <c r="AD1120" s="326"/>
      <c r="AG1120" s="326"/>
      <c r="AH1120" s="326"/>
      <c r="AI1120" s="326"/>
      <c r="AL1120" s="326"/>
      <c r="AM1120" s="326"/>
    </row>
    <row r="1121" spans="1:39" x14ac:dyDescent="0.15">
      <c r="A1121" s="327"/>
      <c r="B1121" s="320"/>
      <c r="C1121" s="320"/>
      <c r="D1121" s="320"/>
      <c r="E1121" s="320"/>
      <c r="F1121" s="320"/>
      <c r="G1121" s="320"/>
      <c r="H1121" s="320"/>
      <c r="I1121" s="320"/>
      <c r="J1121" s="320"/>
      <c r="K1121" s="320"/>
      <c r="L1121" s="320"/>
      <c r="M1121" s="320"/>
      <c r="N1121" s="320"/>
      <c r="O1121" s="321"/>
      <c r="P1121" s="321"/>
      <c r="Y1121" s="326"/>
      <c r="AB1121" s="326"/>
      <c r="AC1121" s="326"/>
      <c r="AD1121" s="326"/>
      <c r="AG1121" s="326"/>
      <c r="AH1121" s="326"/>
      <c r="AI1121" s="326"/>
      <c r="AL1121" s="326"/>
      <c r="AM1121" s="326"/>
    </row>
    <row r="1122" spans="1:39" x14ac:dyDescent="0.15">
      <c r="A1122" s="327"/>
      <c r="B1122" s="320"/>
      <c r="C1122" s="320"/>
      <c r="D1122" s="320"/>
      <c r="E1122" s="320"/>
      <c r="F1122" s="320"/>
      <c r="G1122" s="320"/>
      <c r="H1122" s="320"/>
      <c r="I1122" s="320"/>
      <c r="J1122" s="320"/>
      <c r="K1122" s="320"/>
      <c r="L1122" s="320"/>
      <c r="M1122" s="320"/>
      <c r="N1122" s="320"/>
      <c r="O1122" s="321"/>
      <c r="P1122" s="321"/>
      <c r="Y1122" s="326"/>
      <c r="AB1122" s="326"/>
      <c r="AC1122" s="326"/>
      <c r="AD1122" s="326"/>
      <c r="AG1122" s="326"/>
      <c r="AH1122" s="326"/>
      <c r="AI1122" s="326"/>
      <c r="AL1122" s="326"/>
      <c r="AM1122" s="326"/>
    </row>
    <row r="1123" spans="1:39" x14ac:dyDescent="0.15">
      <c r="A1123" s="327"/>
      <c r="B1123" s="320"/>
      <c r="C1123" s="320"/>
      <c r="D1123" s="320"/>
      <c r="E1123" s="320"/>
      <c r="F1123" s="320"/>
      <c r="G1123" s="320"/>
      <c r="H1123" s="320"/>
      <c r="I1123" s="320"/>
      <c r="J1123" s="320"/>
      <c r="K1123" s="320"/>
      <c r="L1123" s="320"/>
      <c r="M1123" s="320"/>
      <c r="N1123" s="320"/>
      <c r="O1123" s="321"/>
      <c r="P1123" s="321"/>
      <c r="Y1123" s="326"/>
      <c r="AB1123" s="326"/>
      <c r="AC1123" s="326"/>
      <c r="AD1123" s="326"/>
      <c r="AG1123" s="326"/>
      <c r="AH1123" s="326"/>
      <c r="AI1123" s="326"/>
      <c r="AL1123" s="326"/>
      <c r="AM1123" s="326"/>
    </row>
    <row r="1124" spans="1:39" x14ac:dyDescent="0.15">
      <c r="A1124" s="327"/>
      <c r="B1124" s="320"/>
      <c r="C1124" s="320"/>
      <c r="D1124" s="320"/>
      <c r="E1124" s="320"/>
      <c r="F1124" s="320"/>
      <c r="G1124" s="320"/>
      <c r="H1124" s="320"/>
      <c r="I1124" s="320"/>
      <c r="J1124" s="320"/>
      <c r="K1124" s="320"/>
      <c r="L1124" s="320"/>
      <c r="M1124" s="320"/>
      <c r="N1124" s="320"/>
      <c r="O1124" s="321"/>
      <c r="P1124" s="321"/>
      <c r="Y1124" s="326"/>
      <c r="AB1124" s="326"/>
      <c r="AC1124" s="326"/>
      <c r="AD1124" s="326"/>
      <c r="AG1124" s="326"/>
      <c r="AH1124" s="326"/>
      <c r="AI1124" s="326"/>
      <c r="AL1124" s="326"/>
      <c r="AM1124" s="326"/>
    </row>
    <row r="1125" spans="1:39" x14ac:dyDescent="0.15">
      <c r="A1125" s="327"/>
      <c r="B1125" s="320"/>
      <c r="C1125" s="320"/>
      <c r="D1125" s="320"/>
      <c r="E1125" s="320"/>
      <c r="F1125" s="320"/>
      <c r="G1125" s="320"/>
      <c r="H1125" s="320"/>
      <c r="I1125" s="320"/>
      <c r="J1125" s="320"/>
      <c r="K1125" s="320"/>
      <c r="L1125" s="320"/>
      <c r="M1125" s="320"/>
      <c r="N1125" s="320"/>
      <c r="O1125" s="321"/>
      <c r="P1125" s="321"/>
      <c r="Y1125" s="326"/>
      <c r="Z1125" s="326"/>
      <c r="AB1125" s="326"/>
      <c r="AC1125" s="326"/>
      <c r="AD1125" s="326"/>
      <c r="AG1125" s="326"/>
      <c r="AH1125" s="326"/>
      <c r="AI1125" s="326"/>
      <c r="AL1125" s="326"/>
      <c r="AM1125" s="326"/>
    </row>
    <row r="1126" spans="1:39" x14ac:dyDescent="0.15">
      <c r="A1126" s="327"/>
      <c r="B1126" s="320"/>
      <c r="C1126" s="320"/>
      <c r="D1126" s="320"/>
      <c r="E1126" s="320"/>
      <c r="F1126" s="320"/>
      <c r="G1126" s="320"/>
      <c r="H1126" s="320"/>
      <c r="I1126" s="320"/>
      <c r="J1126" s="320"/>
      <c r="K1126" s="320"/>
      <c r="L1126" s="320"/>
      <c r="M1126" s="320"/>
      <c r="N1126" s="320"/>
      <c r="O1126" s="321"/>
      <c r="P1126" s="321"/>
      <c r="Y1126" s="326"/>
      <c r="Z1126" s="326"/>
      <c r="AB1126" s="326"/>
      <c r="AC1126" s="326"/>
      <c r="AD1126" s="326"/>
      <c r="AG1126" s="326"/>
      <c r="AH1126" s="326"/>
      <c r="AI1126" s="326"/>
      <c r="AL1126" s="326"/>
      <c r="AM1126" s="326"/>
    </row>
    <row r="1127" spans="1:39" x14ac:dyDescent="0.15">
      <c r="A1127" s="327"/>
      <c r="B1127" s="320"/>
      <c r="C1127" s="320"/>
      <c r="D1127" s="320"/>
      <c r="E1127" s="320"/>
      <c r="F1127" s="320"/>
      <c r="G1127" s="320"/>
      <c r="H1127" s="320"/>
      <c r="I1127" s="320"/>
      <c r="J1127" s="320"/>
      <c r="K1127" s="320"/>
      <c r="L1127" s="320"/>
      <c r="M1127" s="320"/>
      <c r="N1127" s="320"/>
      <c r="O1127" s="321"/>
      <c r="P1127" s="321"/>
      <c r="Y1127" s="326"/>
      <c r="Z1127" s="326"/>
      <c r="AB1127" s="326"/>
      <c r="AC1127" s="326"/>
      <c r="AD1127" s="326"/>
      <c r="AG1127" s="326"/>
      <c r="AH1127" s="326"/>
      <c r="AI1127" s="326"/>
      <c r="AL1127" s="326"/>
      <c r="AM1127" s="326"/>
    </row>
    <row r="1128" spans="1:39" x14ac:dyDescent="0.15">
      <c r="A1128" s="327"/>
      <c r="B1128" s="320"/>
      <c r="C1128" s="320"/>
      <c r="D1128" s="320"/>
      <c r="E1128" s="320"/>
      <c r="F1128" s="320"/>
      <c r="G1128" s="320"/>
      <c r="H1128" s="320"/>
      <c r="I1128" s="320"/>
      <c r="J1128" s="320"/>
      <c r="K1128" s="320"/>
      <c r="L1128" s="320"/>
      <c r="M1128" s="320"/>
      <c r="N1128" s="320"/>
      <c r="O1128" s="321"/>
      <c r="P1128" s="321"/>
      <c r="Y1128" s="326"/>
      <c r="Z1128" s="326"/>
      <c r="AB1128" s="326"/>
      <c r="AC1128" s="326"/>
      <c r="AD1128" s="326"/>
      <c r="AG1128" s="326"/>
      <c r="AH1128" s="326"/>
      <c r="AI1128" s="326"/>
      <c r="AL1128" s="326"/>
      <c r="AM1128" s="326"/>
    </row>
    <row r="1129" spans="1:39" x14ac:dyDescent="0.15">
      <c r="A1129" s="327"/>
      <c r="B1129" s="320"/>
      <c r="C1129" s="320"/>
      <c r="D1129" s="320"/>
      <c r="E1129" s="320"/>
      <c r="F1129" s="320"/>
      <c r="G1129" s="320"/>
      <c r="H1129" s="320"/>
      <c r="I1129" s="320"/>
      <c r="J1129" s="320"/>
      <c r="K1129" s="320"/>
      <c r="L1129" s="320"/>
      <c r="M1129" s="320"/>
      <c r="N1129" s="320"/>
      <c r="O1129" s="321"/>
      <c r="P1129" s="321"/>
      <c r="Y1129" s="326"/>
      <c r="Z1129" s="326"/>
      <c r="AA1129" s="326"/>
      <c r="AB1129" s="326"/>
      <c r="AC1129" s="326"/>
      <c r="AD1129" s="326"/>
      <c r="AG1129" s="326"/>
      <c r="AH1129" s="326"/>
      <c r="AI1129" s="326"/>
      <c r="AL1129" s="326"/>
      <c r="AM1129" s="326"/>
    </row>
    <row r="1130" spans="1:39" x14ac:dyDescent="0.15">
      <c r="A1130" s="327"/>
      <c r="B1130" s="320"/>
      <c r="C1130" s="320"/>
      <c r="D1130" s="320"/>
      <c r="E1130" s="320"/>
      <c r="F1130" s="320"/>
      <c r="G1130" s="320"/>
      <c r="H1130" s="320"/>
      <c r="I1130" s="320"/>
      <c r="J1130" s="320"/>
      <c r="K1130" s="320"/>
      <c r="L1130" s="320"/>
      <c r="M1130" s="320"/>
      <c r="N1130" s="320"/>
      <c r="O1130" s="321"/>
      <c r="P1130" s="321"/>
      <c r="Y1130" s="326"/>
      <c r="Z1130" s="326"/>
      <c r="AA1130" s="326"/>
      <c r="AB1130" s="326"/>
      <c r="AC1130" s="326"/>
      <c r="AD1130" s="326"/>
      <c r="AG1130" s="326"/>
      <c r="AH1130" s="326"/>
      <c r="AI1130" s="326"/>
      <c r="AL1130" s="326"/>
      <c r="AM1130" s="326"/>
    </row>
    <row r="1131" spans="1:39" x14ac:dyDescent="0.15">
      <c r="A1131" s="327"/>
      <c r="B1131" s="320"/>
      <c r="C1131" s="320"/>
      <c r="D1131" s="320"/>
      <c r="E1131" s="320"/>
      <c r="F1131" s="320"/>
      <c r="G1131" s="320"/>
      <c r="H1131" s="320"/>
      <c r="I1131" s="320"/>
      <c r="J1131" s="320"/>
      <c r="K1131" s="320"/>
      <c r="L1131" s="320"/>
      <c r="M1131" s="320"/>
      <c r="N1131" s="320"/>
      <c r="O1131" s="321"/>
      <c r="P1131" s="321"/>
      <c r="Y1131" s="326"/>
      <c r="Z1131" s="326"/>
      <c r="AA1131" s="326"/>
      <c r="AB1131" s="326"/>
      <c r="AC1131" s="326"/>
      <c r="AD1131" s="326"/>
      <c r="AG1131" s="326"/>
      <c r="AH1131" s="326"/>
      <c r="AI1131" s="326"/>
      <c r="AL1131" s="326"/>
      <c r="AM1131" s="326"/>
    </row>
    <row r="1132" spans="1:39" x14ac:dyDescent="0.15">
      <c r="A1132" s="327"/>
      <c r="B1132" s="320"/>
      <c r="C1132" s="320"/>
      <c r="D1132" s="320"/>
      <c r="E1132" s="320"/>
      <c r="F1132" s="320"/>
      <c r="G1132" s="320"/>
      <c r="H1132" s="320"/>
      <c r="I1132" s="320"/>
      <c r="J1132" s="320"/>
      <c r="K1132" s="320"/>
      <c r="L1132" s="320"/>
      <c r="M1132" s="320"/>
      <c r="N1132" s="320"/>
      <c r="O1132" s="321"/>
      <c r="P1132" s="321"/>
      <c r="Y1132" s="326"/>
      <c r="Z1132" s="326"/>
      <c r="AA1132" s="326"/>
      <c r="AB1132" s="326"/>
      <c r="AC1132" s="326"/>
      <c r="AD1132" s="326"/>
      <c r="AG1132" s="326"/>
      <c r="AH1132" s="326"/>
      <c r="AI1132" s="326"/>
      <c r="AL1132" s="326"/>
      <c r="AM1132" s="326"/>
    </row>
    <row r="1133" spans="1:39" x14ac:dyDescent="0.15">
      <c r="A1133" s="327"/>
      <c r="B1133" s="320"/>
      <c r="C1133" s="320"/>
      <c r="D1133" s="320"/>
      <c r="E1133" s="320"/>
      <c r="F1133" s="320"/>
      <c r="G1133" s="320"/>
      <c r="H1133" s="320"/>
      <c r="I1133" s="320"/>
      <c r="J1133" s="320"/>
      <c r="K1133" s="320"/>
      <c r="L1133" s="320"/>
      <c r="M1133" s="320"/>
      <c r="N1133" s="320"/>
      <c r="O1133" s="321"/>
      <c r="P1133" s="321"/>
      <c r="Y1133" s="326"/>
      <c r="Z1133" s="326"/>
      <c r="AA1133" s="326"/>
      <c r="AB1133" s="326"/>
      <c r="AC1133" s="326"/>
      <c r="AD1133" s="326"/>
      <c r="AG1133" s="326"/>
      <c r="AH1133" s="326"/>
      <c r="AI1133" s="326"/>
      <c r="AL1133" s="326"/>
      <c r="AM1133" s="326"/>
    </row>
    <row r="1134" spans="1:39" x14ac:dyDescent="0.15">
      <c r="A1134" s="327"/>
      <c r="B1134" s="320"/>
      <c r="C1134" s="320"/>
      <c r="D1134" s="320"/>
      <c r="E1134" s="320"/>
      <c r="F1134" s="320"/>
      <c r="G1134" s="320"/>
      <c r="H1134" s="320"/>
      <c r="I1134" s="320"/>
      <c r="J1134" s="320"/>
      <c r="K1134" s="320"/>
      <c r="L1134" s="320"/>
      <c r="M1134" s="320"/>
      <c r="N1134" s="320"/>
      <c r="O1134" s="321"/>
      <c r="P1134" s="321"/>
      <c r="Y1134" s="326"/>
      <c r="Z1134" s="326"/>
      <c r="AA1134" s="326"/>
      <c r="AB1134" s="326"/>
      <c r="AC1134" s="326"/>
      <c r="AD1134" s="326"/>
      <c r="AG1134" s="326"/>
      <c r="AH1134" s="326"/>
      <c r="AI1134" s="326"/>
      <c r="AL1134" s="326"/>
      <c r="AM1134" s="326"/>
    </row>
    <row r="1135" spans="1:39" x14ac:dyDescent="0.15">
      <c r="A1135" s="327"/>
      <c r="B1135" s="320"/>
      <c r="C1135" s="320"/>
      <c r="D1135" s="320"/>
      <c r="E1135" s="320"/>
      <c r="F1135" s="320"/>
      <c r="G1135" s="320"/>
      <c r="H1135" s="320"/>
      <c r="I1135" s="320"/>
      <c r="J1135" s="320"/>
      <c r="K1135" s="320"/>
      <c r="L1135" s="320"/>
      <c r="M1135" s="320"/>
      <c r="N1135" s="320"/>
      <c r="O1135" s="321"/>
      <c r="P1135" s="321"/>
      <c r="Y1135" s="326"/>
      <c r="Z1135" s="326"/>
      <c r="AA1135" s="326"/>
      <c r="AB1135" s="326"/>
      <c r="AC1135" s="326"/>
      <c r="AD1135" s="326"/>
      <c r="AG1135" s="326"/>
      <c r="AH1135" s="326"/>
      <c r="AI1135" s="326"/>
      <c r="AL1135" s="326"/>
      <c r="AM1135" s="326"/>
    </row>
    <row r="1136" spans="1:39" x14ac:dyDescent="0.15">
      <c r="A1136" s="327"/>
      <c r="B1136" s="320"/>
      <c r="C1136" s="320"/>
      <c r="D1136" s="320"/>
      <c r="E1136" s="320"/>
      <c r="F1136" s="320"/>
      <c r="G1136" s="320"/>
      <c r="H1136" s="320"/>
      <c r="I1136" s="320"/>
      <c r="J1136" s="320"/>
      <c r="K1136" s="320"/>
      <c r="L1136" s="320"/>
      <c r="M1136" s="320"/>
      <c r="N1136" s="320"/>
      <c r="O1136" s="321"/>
      <c r="P1136" s="321"/>
      <c r="Y1136" s="326"/>
      <c r="Z1136" s="326"/>
      <c r="AA1136" s="326"/>
      <c r="AB1136" s="326"/>
      <c r="AC1136" s="326"/>
      <c r="AD1136" s="326"/>
      <c r="AG1136" s="326"/>
      <c r="AH1136" s="326"/>
      <c r="AI1136" s="326"/>
      <c r="AL1136" s="326"/>
      <c r="AM1136" s="326"/>
    </row>
    <row r="1137" spans="1:40" x14ac:dyDescent="0.15">
      <c r="A1137" s="327"/>
      <c r="B1137" s="320"/>
      <c r="C1137" s="320"/>
      <c r="D1137" s="320"/>
      <c r="E1137" s="320"/>
      <c r="F1137" s="320"/>
      <c r="G1137" s="320"/>
      <c r="H1137" s="320"/>
      <c r="I1137" s="320"/>
      <c r="J1137" s="320"/>
      <c r="K1137" s="320"/>
      <c r="L1137" s="320"/>
      <c r="M1137" s="320"/>
      <c r="N1137" s="320"/>
      <c r="O1137" s="321"/>
      <c r="P1137" s="321"/>
      <c r="Y1137" s="326"/>
      <c r="Z1137" s="326"/>
      <c r="AA1137" s="326"/>
      <c r="AB1137" s="326"/>
      <c r="AC1137" s="326"/>
      <c r="AD1137" s="326"/>
      <c r="AG1137" s="326"/>
      <c r="AH1137" s="326"/>
      <c r="AI1137" s="326"/>
      <c r="AL1137" s="326"/>
      <c r="AM1137" s="326"/>
    </row>
    <row r="1138" spans="1:40" x14ac:dyDescent="0.15">
      <c r="A1138" s="327"/>
      <c r="B1138" s="320"/>
      <c r="C1138" s="320"/>
      <c r="D1138" s="320"/>
      <c r="E1138" s="320"/>
      <c r="F1138" s="320"/>
      <c r="G1138" s="320"/>
      <c r="H1138" s="320"/>
      <c r="I1138" s="320"/>
      <c r="J1138" s="320"/>
      <c r="K1138" s="320"/>
      <c r="L1138" s="320"/>
      <c r="M1138" s="320"/>
      <c r="N1138" s="320"/>
      <c r="O1138" s="321"/>
      <c r="P1138" s="321"/>
      <c r="Y1138" s="326"/>
      <c r="Z1138" s="326"/>
      <c r="AA1138" s="326"/>
      <c r="AB1138" s="326"/>
      <c r="AC1138" s="326"/>
      <c r="AD1138" s="326"/>
      <c r="AG1138" s="326"/>
      <c r="AH1138" s="326"/>
      <c r="AI1138" s="326"/>
      <c r="AL1138" s="326"/>
      <c r="AM1138" s="326"/>
    </row>
    <row r="1139" spans="1:40" x14ac:dyDescent="0.15">
      <c r="A1139" s="327"/>
      <c r="B1139" s="320"/>
      <c r="C1139" s="320"/>
      <c r="D1139" s="320"/>
      <c r="E1139" s="320"/>
      <c r="F1139" s="320"/>
      <c r="G1139" s="320"/>
      <c r="H1139" s="320"/>
      <c r="I1139" s="320"/>
      <c r="J1139" s="320"/>
      <c r="K1139" s="320"/>
      <c r="L1139" s="320"/>
      <c r="M1139" s="320"/>
      <c r="N1139" s="320"/>
      <c r="O1139" s="321"/>
      <c r="P1139" s="321"/>
      <c r="Y1139" s="326"/>
      <c r="Z1139" s="326"/>
      <c r="AA1139" s="326"/>
      <c r="AB1139" s="326"/>
      <c r="AC1139" s="326"/>
      <c r="AD1139" s="326"/>
      <c r="AG1139" s="326"/>
      <c r="AH1139" s="326"/>
      <c r="AI1139" s="326"/>
      <c r="AL1139" s="326"/>
      <c r="AM1139" s="326"/>
    </row>
    <row r="1140" spans="1:40" x14ac:dyDescent="0.15">
      <c r="A1140" s="327"/>
      <c r="B1140" s="320"/>
      <c r="C1140" s="320"/>
      <c r="D1140" s="320"/>
      <c r="E1140" s="320"/>
      <c r="F1140" s="320"/>
      <c r="G1140" s="320"/>
      <c r="H1140" s="320"/>
      <c r="I1140" s="320"/>
      <c r="J1140" s="320"/>
      <c r="K1140" s="320"/>
      <c r="L1140" s="320"/>
      <c r="M1140" s="320"/>
      <c r="N1140" s="320"/>
      <c r="O1140" s="321"/>
      <c r="P1140" s="321"/>
      <c r="Y1140" s="326"/>
      <c r="Z1140" s="326"/>
      <c r="AA1140" s="326"/>
      <c r="AB1140" s="326"/>
      <c r="AC1140" s="326"/>
      <c r="AD1140" s="326"/>
      <c r="AG1140" s="326"/>
      <c r="AH1140" s="326"/>
      <c r="AI1140" s="326"/>
      <c r="AL1140" s="326"/>
      <c r="AM1140" s="326"/>
    </row>
    <row r="1141" spans="1:40" x14ac:dyDescent="0.15">
      <c r="A1141" s="327"/>
      <c r="B1141" s="320"/>
      <c r="C1141" s="320"/>
      <c r="D1141" s="320"/>
      <c r="E1141" s="320"/>
      <c r="F1141" s="320"/>
      <c r="G1141" s="320"/>
      <c r="H1141" s="320"/>
      <c r="I1141" s="320"/>
      <c r="J1141" s="320"/>
      <c r="K1141" s="320"/>
      <c r="L1141" s="320"/>
      <c r="M1141" s="320"/>
      <c r="N1141" s="320"/>
      <c r="O1141" s="321"/>
      <c r="P1141" s="321"/>
      <c r="Y1141" s="326"/>
      <c r="Z1141" s="326"/>
      <c r="AA1141" s="326"/>
      <c r="AB1141" s="326"/>
      <c r="AC1141" s="326"/>
      <c r="AD1141" s="326"/>
      <c r="AG1141" s="326"/>
      <c r="AH1141" s="326"/>
      <c r="AI1141" s="326"/>
      <c r="AL1141" s="326"/>
      <c r="AM1141" s="326"/>
    </row>
    <row r="1142" spans="1:40" x14ac:dyDescent="0.15">
      <c r="A1142" s="327"/>
      <c r="B1142" s="320"/>
      <c r="C1142" s="320"/>
      <c r="D1142" s="320"/>
      <c r="E1142" s="320"/>
      <c r="F1142" s="320"/>
      <c r="G1142" s="320"/>
      <c r="H1142" s="320"/>
      <c r="I1142" s="320"/>
      <c r="J1142" s="320"/>
      <c r="K1142" s="320"/>
      <c r="L1142" s="320"/>
      <c r="M1142" s="320"/>
      <c r="N1142" s="320"/>
      <c r="O1142" s="321"/>
      <c r="P1142" s="321"/>
      <c r="Y1142" s="326"/>
      <c r="Z1142" s="326"/>
      <c r="AA1142" s="326"/>
      <c r="AB1142" s="326"/>
      <c r="AC1142" s="326"/>
      <c r="AD1142" s="326"/>
      <c r="AG1142" s="326"/>
      <c r="AH1142" s="326"/>
      <c r="AI1142" s="326"/>
      <c r="AL1142" s="326"/>
      <c r="AM1142" s="326"/>
      <c r="AN1142" s="326"/>
    </row>
    <row r="1143" spans="1:40" x14ac:dyDescent="0.15">
      <c r="A1143" s="327"/>
      <c r="B1143" s="320"/>
      <c r="C1143" s="320"/>
      <c r="D1143" s="320"/>
      <c r="E1143" s="320"/>
      <c r="F1143" s="320"/>
      <c r="G1143" s="320"/>
      <c r="H1143" s="320"/>
      <c r="I1143" s="320"/>
      <c r="J1143" s="320"/>
      <c r="K1143" s="320"/>
      <c r="L1143" s="320"/>
      <c r="M1143" s="320"/>
      <c r="N1143" s="320"/>
      <c r="O1143" s="321"/>
      <c r="P1143" s="321"/>
      <c r="Y1143" s="326"/>
      <c r="Z1143" s="326"/>
      <c r="AA1143" s="326"/>
      <c r="AB1143" s="326"/>
      <c r="AC1143" s="326"/>
      <c r="AD1143" s="326"/>
      <c r="AG1143" s="326"/>
      <c r="AH1143" s="326"/>
      <c r="AI1143" s="326"/>
      <c r="AL1143" s="326"/>
      <c r="AM1143" s="326"/>
      <c r="AN1143" s="326"/>
    </row>
    <row r="1144" spans="1:40" x14ac:dyDescent="0.15">
      <c r="A1144" s="327"/>
      <c r="B1144" s="320"/>
      <c r="C1144" s="320"/>
      <c r="D1144" s="320"/>
      <c r="E1144" s="320"/>
      <c r="F1144" s="320"/>
      <c r="G1144" s="320"/>
      <c r="H1144" s="320"/>
      <c r="I1144" s="320"/>
      <c r="J1144" s="320"/>
      <c r="K1144" s="320"/>
      <c r="L1144" s="320"/>
      <c r="M1144" s="320"/>
      <c r="N1144" s="320"/>
      <c r="O1144" s="321"/>
      <c r="P1144" s="321"/>
      <c r="Y1144" s="326"/>
      <c r="Z1144" s="326"/>
      <c r="AA1144" s="326"/>
      <c r="AB1144" s="326"/>
      <c r="AC1144" s="326"/>
      <c r="AD1144" s="326"/>
      <c r="AG1144" s="326"/>
      <c r="AH1144" s="326"/>
      <c r="AI1144" s="326"/>
      <c r="AL1144" s="326"/>
      <c r="AM1144" s="326"/>
      <c r="AN1144" s="326"/>
    </row>
    <row r="1145" spans="1:40" x14ac:dyDescent="0.15">
      <c r="A1145" s="327"/>
      <c r="B1145" s="320"/>
      <c r="C1145" s="320"/>
      <c r="D1145" s="320"/>
      <c r="E1145" s="320"/>
      <c r="F1145" s="320"/>
      <c r="G1145" s="320"/>
      <c r="H1145" s="320"/>
      <c r="I1145" s="320"/>
      <c r="J1145" s="320"/>
      <c r="K1145" s="320"/>
      <c r="L1145" s="320"/>
      <c r="M1145" s="320"/>
      <c r="N1145" s="320"/>
      <c r="O1145" s="321"/>
      <c r="P1145" s="321"/>
      <c r="Y1145" s="326"/>
      <c r="Z1145" s="326"/>
      <c r="AA1145" s="326"/>
      <c r="AB1145" s="326"/>
      <c r="AC1145" s="326"/>
      <c r="AD1145" s="326"/>
      <c r="AG1145" s="326"/>
      <c r="AH1145" s="326"/>
      <c r="AI1145" s="326"/>
      <c r="AL1145" s="326"/>
      <c r="AM1145" s="326"/>
      <c r="AN1145" s="326"/>
    </row>
    <row r="1146" spans="1:40" x14ac:dyDescent="0.15">
      <c r="A1146" s="327"/>
      <c r="B1146" s="320"/>
      <c r="C1146" s="320"/>
      <c r="D1146" s="320"/>
      <c r="E1146" s="320"/>
      <c r="F1146" s="320"/>
      <c r="G1146" s="320"/>
      <c r="H1146" s="320"/>
      <c r="I1146" s="320"/>
      <c r="J1146" s="320"/>
      <c r="K1146" s="320"/>
      <c r="L1146" s="320"/>
      <c r="M1146" s="320"/>
      <c r="N1146" s="320"/>
      <c r="O1146" s="321"/>
      <c r="P1146" s="321"/>
      <c r="Y1146" s="326"/>
      <c r="Z1146" s="326"/>
      <c r="AA1146" s="326"/>
      <c r="AB1146" s="326"/>
      <c r="AC1146" s="326"/>
      <c r="AD1146" s="326"/>
      <c r="AG1146" s="326"/>
      <c r="AH1146" s="326"/>
      <c r="AI1146" s="326"/>
      <c r="AL1146" s="326"/>
      <c r="AM1146" s="326"/>
      <c r="AN1146" s="326"/>
    </row>
    <row r="1147" spans="1:40" x14ac:dyDescent="0.15">
      <c r="A1147" s="327"/>
      <c r="B1147" s="320"/>
      <c r="C1147" s="320"/>
      <c r="D1147" s="320"/>
      <c r="E1147" s="320"/>
      <c r="F1147" s="320"/>
      <c r="G1147" s="320"/>
      <c r="H1147" s="320"/>
      <c r="I1147" s="320"/>
      <c r="J1147" s="320"/>
      <c r="K1147" s="320"/>
      <c r="L1147" s="320"/>
      <c r="M1147" s="320"/>
      <c r="N1147" s="320"/>
      <c r="O1147" s="321"/>
      <c r="P1147" s="321"/>
      <c r="Y1147" s="326"/>
      <c r="Z1147" s="326"/>
      <c r="AA1147" s="326"/>
      <c r="AB1147" s="326"/>
      <c r="AC1147" s="326"/>
      <c r="AD1147" s="326"/>
      <c r="AG1147" s="326"/>
      <c r="AH1147" s="326"/>
      <c r="AI1147" s="326"/>
      <c r="AL1147" s="326"/>
      <c r="AM1147" s="326"/>
      <c r="AN1147" s="326"/>
    </row>
    <row r="1148" spans="1:40" x14ac:dyDescent="0.15">
      <c r="A1148" s="327"/>
      <c r="B1148" s="320"/>
      <c r="C1148" s="320"/>
      <c r="D1148" s="320"/>
      <c r="E1148" s="320"/>
      <c r="F1148" s="320"/>
      <c r="G1148" s="320"/>
      <c r="H1148" s="320"/>
      <c r="I1148" s="320"/>
      <c r="J1148" s="320"/>
      <c r="K1148" s="320"/>
      <c r="L1148" s="320"/>
      <c r="M1148" s="320"/>
      <c r="N1148" s="320"/>
      <c r="O1148" s="321"/>
      <c r="P1148" s="321"/>
      <c r="Y1148" s="326"/>
      <c r="Z1148" s="326"/>
      <c r="AA1148" s="326"/>
      <c r="AB1148" s="326"/>
      <c r="AC1148" s="326"/>
      <c r="AD1148" s="326"/>
      <c r="AG1148" s="326"/>
      <c r="AH1148" s="326"/>
      <c r="AI1148" s="326"/>
      <c r="AL1148" s="326"/>
      <c r="AM1148" s="326"/>
      <c r="AN1148" s="326"/>
    </row>
    <row r="1149" spans="1:40" x14ac:dyDescent="0.15">
      <c r="A1149" s="327"/>
      <c r="B1149" s="320"/>
      <c r="C1149" s="320"/>
      <c r="D1149" s="320"/>
      <c r="E1149" s="320"/>
      <c r="F1149" s="320"/>
      <c r="G1149" s="320"/>
      <c r="H1149" s="320"/>
      <c r="I1149" s="320"/>
      <c r="J1149" s="320"/>
      <c r="K1149" s="320"/>
      <c r="L1149" s="320"/>
      <c r="M1149" s="320"/>
      <c r="N1149" s="320"/>
      <c r="O1149" s="321"/>
      <c r="P1149" s="321"/>
      <c r="Y1149" s="326"/>
      <c r="Z1149" s="326"/>
      <c r="AA1149" s="326"/>
      <c r="AB1149" s="326"/>
      <c r="AC1149" s="326"/>
      <c r="AD1149" s="326"/>
      <c r="AG1149" s="326"/>
      <c r="AH1149" s="326"/>
      <c r="AI1149" s="326"/>
      <c r="AL1149" s="326"/>
      <c r="AM1149" s="326"/>
      <c r="AN1149" s="326"/>
    </row>
    <row r="1150" spans="1:40" x14ac:dyDescent="0.15">
      <c r="A1150" s="327"/>
      <c r="B1150" s="320"/>
      <c r="C1150" s="320"/>
      <c r="D1150" s="320"/>
      <c r="E1150" s="320"/>
      <c r="F1150" s="320"/>
      <c r="G1150" s="320"/>
      <c r="H1150" s="320"/>
      <c r="I1150" s="320"/>
      <c r="J1150" s="320"/>
      <c r="K1150" s="320"/>
      <c r="L1150" s="320"/>
      <c r="M1150" s="320"/>
      <c r="N1150" s="320"/>
      <c r="O1150" s="321"/>
      <c r="P1150" s="321"/>
      <c r="Y1150" s="326"/>
      <c r="Z1150" s="326"/>
      <c r="AA1150" s="326"/>
      <c r="AB1150" s="326"/>
      <c r="AC1150" s="326"/>
      <c r="AD1150" s="326"/>
      <c r="AG1150" s="326"/>
      <c r="AH1150" s="326"/>
      <c r="AI1150" s="326"/>
      <c r="AL1150" s="326"/>
      <c r="AM1150" s="326"/>
      <c r="AN1150" s="326"/>
    </row>
    <row r="1151" spans="1:40" x14ac:dyDescent="0.15">
      <c r="A1151" s="327"/>
      <c r="B1151" s="320"/>
      <c r="C1151" s="320"/>
      <c r="D1151" s="320"/>
      <c r="E1151" s="320"/>
      <c r="F1151" s="320"/>
      <c r="G1151" s="320"/>
      <c r="H1151" s="320"/>
      <c r="I1151" s="320"/>
      <c r="J1151" s="320"/>
      <c r="K1151" s="320"/>
      <c r="L1151" s="320"/>
      <c r="M1151" s="320"/>
      <c r="N1151" s="320"/>
      <c r="O1151" s="321"/>
      <c r="P1151" s="321"/>
      <c r="Y1151" s="326"/>
      <c r="Z1151" s="326"/>
      <c r="AA1151" s="326"/>
      <c r="AB1151" s="326"/>
      <c r="AC1151" s="326"/>
      <c r="AD1151" s="326"/>
      <c r="AG1151" s="326"/>
      <c r="AH1151" s="326"/>
      <c r="AI1151" s="326"/>
      <c r="AL1151" s="326"/>
      <c r="AM1151" s="326"/>
      <c r="AN1151" s="326"/>
    </row>
    <row r="1152" spans="1:40" x14ac:dyDescent="0.15">
      <c r="A1152" s="327"/>
      <c r="B1152" s="320"/>
      <c r="C1152" s="320"/>
      <c r="D1152" s="320"/>
      <c r="E1152" s="320"/>
      <c r="F1152" s="320"/>
      <c r="G1152" s="320"/>
      <c r="H1152" s="320"/>
      <c r="I1152" s="320"/>
      <c r="J1152" s="320"/>
      <c r="K1152" s="320"/>
      <c r="L1152" s="320"/>
      <c r="M1152" s="320"/>
      <c r="N1152" s="320"/>
      <c r="O1152" s="321"/>
      <c r="P1152" s="321"/>
      <c r="Y1152" s="326"/>
      <c r="Z1152" s="326"/>
      <c r="AA1152" s="326"/>
      <c r="AB1152" s="326"/>
      <c r="AC1152" s="326"/>
      <c r="AD1152" s="326"/>
      <c r="AG1152" s="326"/>
      <c r="AH1152" s="326"/>
      <c r="AI1152" s="326"/>
      <c r="AL1152" s="326"/>
      <c r="AM1152" s="326"/>
      <c r="AN1152" s="326"/>
    </row>
    <row r="1153" spans="1:40" x14ac:dyDescent="0.15">
      <c r="A1153" s="327"/>
      <c r="B1153" s="320"/>
      <c r="C1153" s="320"/>
      <c r="D1153" s="320"/>
      <c r="E1153" s="320"/>
      <c r="F1153" s="320"/>
      <c r="G1153" s="320"/>
      <c r="H1153" s="320"/>
      <c r="I1153" s="320"/>
      <c r="J1153" s="320"/>
      <c r="K1153" s="320"/>
      <c r="L1153" s="320"/>
      <c r="M1153" s="320"/>
      <c r="N1153" s="320"/>
      <c r="O1153" s="321"/>
      <c r="P1153" s="321"/>
      <c r="Y1153" s="326"/>
      <c r="Z1153" s="326"/>
      <c r="AA1153" s="326"/>
      <c r="AB1153" s="326"/>
      <c r="AC1153" s="326"/>
      <c r="AD1153" s="326"/>
      <c r="AG1153" s="326"/>
      <c r="AH1153" s="326"/>
      <c r="AI1153" s="326"/>
      <c r="AL1153" s="326"/>
      <c r="AM1153" s="326"/>
      <c r="AN1153" s="326"/>
    </row>
    <row r="1154" spans="1:40" x14ac:dyDescent="0.15">
      <c r="A1154" s="327"/>
      <c r="B1154" s="320"/>
      <c r="C1154" s="320"/>
      <c r="D1154" s="320"/>
      <c r="E1154" s="320"/>
      <c r="F1154" s="320"/>
      <c r="G1154" s="320"/>
      <c r="H1154" s="320"/>
      <c r="I1154" s="320"/>
      <c r="J1154" s="320"/>
      <c r="K1154" s="320"/>
      <c r="L1154" s="320"/>
      <c r="M1154" s="320"/>
      <c r="N1154" s="320"/>
      <c r="O1154" s="321"/>
      <c r="P1154" s="321"/>
      <c r="Y1154" s="326"/>
      <c r="Z1154" s="326"/>
      <c r="AA1154" s="326"/>
      <c r="AB1154" s="326"/>
      <c r="AC1154" s="326"/>
      <c r="AD1154" s="326"/>
      <c r="AG1154" s="326"/>
      <c r="AH1154" s="326"/>
      <c r="AI1154" s="326"/>
      <c r="AL1154" s="326"/>
      <c r="AM1154" s="326"/>
      <c r="AN1154" s="326"/>
    </row>
    <row r="1155" spans="1:40" x14ac:dyDescent="0.15">
      <c r="A1155" s="327"/>
      <c r="B1155" s="320"/>
      <c r="C1155" s="320"/>
      <c r="D1155" s="320"/>
      <c r="E1155" s="320"/>
      <c r="F1155" s="320"/>
      <c r="G1155" s="320"/>
      <c r="H1155" s="320"/>
      <c r="I1155" s="320"/>
      <c r="J1155" s="320"/>
      <c r="K1155" s="320"/>
      <c r="L1155" s="320"/>
      <c r="M1155" s="320"/>
      <c r="N1155" s="320"/>
      <c r="O1155" s="321"/>
      <c r="P1155" s="321"/>
      <c r="Y1155" s="326"/>
      <c r="Z1155" s="326"/>
      <c r="AA1155" s="326"/>
      <c r="AB1155" s="326"/>
      <c r="AC1155" s="326"/>
      <c r="AD1155" s="326"/>
      <c r="AG1155" s="326"/>
      <c r="AH1155" s="326"/>
      <c r="AI1155" s="326"/>
      <c r="AL1155" s="326"/>
      <c r="AM1155" s="326"/>
      <c r="AN1155" s="326"/>
    </row>
    <row r="1156" spans="1:40" x14ac:dyDescent="0.15">
      <c r="A1156" s="327"/>
      <c r="B1156" s="320"/>
      <c r="C1156" s="320"/>
      <c r="D1156" s="320"/>
      <c r="E1156" s="320"/>
      <c r="F1156" s="320"/>
      <c r="G1156" s="320"/>
      <c r="H1156" s="320"/>
      <c r="I1156" s="320"/>
      <c r="J1156" s="320"/>
      <c r="K1156" s="320"/>
      <c r="L1156" s="320"/>
      <c r="M1156" s="320"/>
      <c r="N1156" s="320"/>
      <c r="O1156" s="321"/>
      <c r="P1156" s="321"/>
      <c r="Y1156" s="326"/>
      <c r="Z1156" s="326"/>
      <c r="AA1156" s="326"/>
      <c r="AB1156" s="326"/>
      <c r="AC1156" s="326"/>
      <c r="AD1156" s="326"/>
      <c r="AG1156" s="326"/>
      <c r="AH1156" s="326"/>
      <c r="AI1156" s="326"/>
      <c r="AL1156" s="326"/>
      <c r="AM1156" s="326"/>
      <c r="AN1156" s="326"/>
    </row>
    <row r="1157" spans="1:40" x14ac:dyDescent="0.15">
      <c r="A1157" s="327"/>
      <c r="B1157" s="320"/>
      <c r="C1157" s="320"/>
      <c r="D1157" s="320"/>
      <c r="E1157" s="320"/>
      <c r="F1157" s="320"/>
      <c r="G1157" s="320"/>
      <c r="H1157" s="320"/>
      <c r="I1157" s="320"/>
      <c r="J1157" s="320"/>
      <c r="K1157" s="320"/>
      <c r="L1157" s="320"/>
      <c r="M1157" s="320"/>
      <c r="N1157" s="320"/>
      <c r="O1157" s="321"/>
      <c r="P1157" s="321"/>
      <c r="Y1157" s="326"/>
      <c r="Z1157" s="326"/>
      <c r="AA1157" s="326"/>
      <c r="AB1157" s="326"/>
      <c r="AC1157" s="326"/>
      <c r="AD1157" s="326"/>
      <c r="AG1157" s="326"/>
      <c r="AH1157" s="326"/>
      <c r="AI1157" s="326"/>
      <c r="AL1157" s="326"/>
      <c r="AM1157" s="326"/>
      <c r="AN1157" s="326"/>
    </row>
    <row r="1158" spans="1:40" x14ac:dyDescent="0.15">
      <c r="A1158" s="327"/>
      <c r="B1158" s="320"/>
      <c r="C1158" s="320"/>
      <c r="D1158" s="320"/>
      <c r="E1158" s="320"/>
      <c r="F1158" s="320"/>
      <c r="G1158" s="320"/>
      <c r="H1158" s="320"/>
      <c r="I1158" s="320"/>
      <c r="J1158" s="320"/>
      <c r="K1158" s="320"/>
      <c r="L1158" s="320"/>
      <c r="M1158" s="320"/>
      <c r="N1158" s="320"/>
      <c r="O1158" s="321"/>
      <c r="P1158" s="321"/>
      <c r="Y1158" s="326"/>
      <c r="Z1158" s="326"/>
      <c r="AA1158" s="326"/>
      <c r="AB1158" s="326"/>
      <c r="AC1158" s="326"/>
      <c r="AD1158" s="326"/>
      <c r="AG1158" s="326"/>
      <c r="AH1158" s="326"/>
      <c r="AI1158" s="326"/>
      <c r="AL1158" s="326"/>
      <c r="AM1158" s="326"/>
      <c r="AN1158" s="326"/>
    </row>
    <row r="1159" spans="1:40" x14ac:dyDescent="0.15">
      <c r="A1159" s="327"/>
      <c r="B1159" s="320"/>
      <c r="C1159" s="320"/>
      <c r="D1159" s="320"/>
      <c r="E1159" s="320"/>
      <c r="F1159" s="320"/>
      <c r="G1159" s="320"/>
      <c r="H1159" s="320"/>
      <c r="I1159" s="320"/>
      <c r="J1159" s="320"/>
      <c r="K1159" s="320"/>
      <c r="L1159" s="320"/>
      <c r="M1159" s="320"/>
      <c r="N1159" s="320"/>
      <c r="O1159" s="321"/>
      <c r="P1159" s="321"/>
      <c r="Y1159" s="326"/>
      <c r="Z1159" s="326"/>
      <c r="AA1159" s="326"/>
      <c r="AB1159" s="326"/>
      <c r="AC1159" s="326"/>
      <c r="AD1159" s="326"/>
      <c r="AG1159" s="326"/>
      <c r="AH1159" s="326"/>
      <c r="AI1159" s="326"/>
      <c r="AL1159" s="326"/>
      <c r="AM1159" s="326"/>
      <c r="AN1159" s="326"/>
    </row>
    <row r="1160" spans="1:40" x14ac:dyDescent="0.15">
      <c r="A1160" s="327"/>
      <c r="B1160" s="320"/>
      <c r="C1160" s="320"/>
      <c r="D1160" s="320"/>
      <c r="E1160" s="320"/>
      <c r="F1160" s="320"/>
      <c r="G1160" s="320"/>
      <c r="H1160" s="320"/>
      <c r="I1160" s="320"/>
      <c r="J1160" s="320"/>
      <c r="K1160" s="320"/>
      <c r="L1160" s="320"/>
      <c r="M1160" s="320"/>
      <c r="N1160" s="320"/>
      <c r="O1160" s="321"/>
      <c r="P1160" s="321"/>
      <c r="Y1160" s="326"/>
      <c r="Z1160" s="326"/>
      <c r="AA1160" s="326"/>
      <c r="AB1160" s="326"/>
      <c r="AC1160" s="326"/>
      <c r="AD1160" s="326"/>
      <c r="AG1160" s="326"/>
      <c r="AH1160" s="326"/>
      <c r="AI1160" s="326"/>
      <c r="AL1160" s="326"/>
      <c r="AM1160" s="326"/>
      <c r="AN1160" s="326"/>
    </row>
    <row r="1161" spans="1:40" x14ac:dyDescent="0.15">
      <c r="A1161" s="327"/>
      <c r="B1161" s="320"/>
      <c r="C1161" s="320"/>
      <c r="D1161" s="320"/>
      <c r="E1161" s="320"/>
      <c r="F1161" s="320"/>
      <c r="G1161" s="320"/>
      <c r="H1161" s="320"/>
      <c r="I1161" s="320"/>
      <c r="J1161" s="320"/>
      <c r="K1161" s="320"/>
      <c r="L1161" s="320"/>
      <c r="M1161" s="320"/>
      <c r="N1161" s="320"/>
      <c r="O1161" s="321"/>
      <c r="P1161" s="321"/>
      <c r="Y1161" s="326"/>
      <c r="Z1161" s="326"/>
      <c r="AA1161" s="326"/>
      <c r="AB1161" s="326"/>
      <c r="AC1161" s="326"/>
      <c r="AD1161" s="326"/>
      <c r="AG1161" s="326"/>
      <c r="AH1161" s="326"/>
      <c r="AI1161" s="326"/>
      <c r="AL1161" s="326"/>
      <c r="AM1161" s="326"/>
      <c r="AN1161" s="326"/>
    </row>
    <row r="1162" spans="1:40" x14ac:dyDescent="0.15">
      <c r="A1162" s="327"/>
      <c r="B1162" s="320"/>
      <c r="C1162" s="320"/>
      <c r="D1162" s="320"/>
      <c r="E1162" s="320"/>
      <c r="F1162" s="320"/>
      <c r="G1162" s="320"/>
      <c r="H1162" s="320"/>
      <c r="I1162" s="320"/>
      <c r="J1162" s="320"/>
      <c r="K1162" s="320"/>
      <c r="L1162" s="320"/>
      <c r="M1162" s="320"/>
      <c r="N1162" s="320"/>
      <c r="O1162" s="321"/>
      <c r="P1162" s="321"/>
      <c r="Y1162" s="326"/>
      <c r="Z1162" s="326"/>
      <c r="AA1162" s="326"/>
      <c r="AB1162" s="326"/>
      <c r="AC1162" s="326"/>
      <c r="AD1162" s="326"/>
      <c r="AG1162" s="326"/>
      <c r="AH1162" s="326"/>
      <c r="AI1162" s="326"/>
      <c r="AL1162" s="326"/>
      <c r="AM1162" s="326"/>
      <c r="AN1162" s="326"/>
    </row>
    <row r="1163" spans="1:40" x14ac:dyDescent="0.15">
      <c r="A1163" s="327"/>
      <c r="B1163" s="320"/>
      <c r="C1163" s="320"/>
      <c r="D1163" s="320"/>
      <c r="E1163" s="320"/>
      <c r="F1163" s="320"/>
      <c r="G1163" s="320"/>
      <c r="H1163" s="320"/>
      <c r="I1163" s="320"/>
      <c r="J1163" s="320"/>
      <c r="K1163" s="320"/>
      <c r="L1163" s="320"/>
      <c r="M1163" s="320"/>
      <c r="N1163" s="320"/>
      <c r="O1163" s="321"/>
      <c r="P1163" s="321"/>
      <c r="Y1163" s="326"/>
      <c r="Z1163" s="326"/>
      <c r="AA1163" s="326"/>
      <c r="AB1163" s="326"/>
      <c r="AC1163" s="326"/>
      <c r="AD1163" s="326"/>
      <c r="AG1163" s="326"/>
      <c r="AH1163" s="326"/>
      <c r="AI1163" s="326"/>
      <c r="AL1163" s="326"/>
      <c r="AM1163" s="326"/>
      <c r="AN1163" s="326"/>
    </row>
    <row r="1164" spans="1:40" x14ac:dyDescent="0.15">
      <c r="A1164" s="327"/>
      <c r="B1164" s="320"/>
      <c r="C1164" s="320"/>
      <c r="D1164" s="320"/>
      <c r="E1164" s="320"/>
      <c r="F1164" s="320"/>
      <c r="G1164" s="320"/>
      <c r="H1164" s="320"/>
      <c r="I1164" s="320"/>
      <c r="J1164" s="320"/>
      <c r="K1164" s="320"/>
      <c r="L1164" s="320"/>
      <c r="M1164" s="320"/>
      <c r="N1164" s="320"/>
      <c r="O1164" s="321"/>
      <c r="P1164" s="321"/>
      <c r="Y1164" s="326"/>
      <c r="Z1164" s="326"/>
      <c r="AA1164" s="326"/>
      <c r="AB1164" s="326"/>
      <c r="AC1164" s="326"/>
      <c r="AD1164" s="326"/>
      <c r="AG1164" s="326"/>
      <c r="AH1164" s="326"/>
      <c r="AI1164" s="326"/>
      <c r="AL1164" s="326"/>
      <c r="AM1164" s="326"/>
      <c r="AN1164" s="326"/>
    </row>
    <row r="1165" spans="1:40" x14ac:dyDescent="0.15">
      <c r="A1165" s="327"/>
      <c r="B1165" s="320"/>
      <c r="C1165" s="320"/>
      <c r="D1165" s="320"/>
      <c r="E1165" s="320"/>
      <c r="F1165" s="320"/>
      <c r="G1165" s="320"/>
      <c r="H1165" s="320"/>
      <c r="I1165" s="320"/>
      <c r="J1165" s="320"/>
      <c r="K1165" s="320"/>
      <c r="L1165" s="320"/>
      <c r="M1165" s="320"/>
      <c r="N1165" s="320"/>
      <c r="O1165" s="321"/>
      <c r="P1165" s="321"/>
      <c r="Y1165" s="326"/>
      <c r="Z1165" s="326"/>
      <c r="AA1165" s="326"/>
      <c r="AB1165" s="326"/>
      <c r="AC1165" s="326"/>
      <c r="AD1165" s="326"/>
      <c r="AG1165" s="326"/>
      <c r="AH1165" s="326"/>
      <c r="AI1165" s="326"/>
      <c r="AL1165" s="326"/>
      <c r="AM1165" s="326"/>
      <c r="AN1165" s="326"/>
    </row>
    <row r="1166" spans="1:40" x14ac:dyDescent="0.15">
      <c r="A1166" s="327"/>
      <c r="B1166" s="320"/>
      <c r="C1166" s="320"/>
      <c r="D1166" s="320"/>
      <c r="E1166" s="320"/>
      <c r="F1166" s="320"/>
      <c r="G1166" s="320"/>
      <c r="H1166" s="320"/>
      <c r="I1166" s="320"/>
      <c r="J1166" s="320"/>
      <c r="K1166" s="320"/>
      <c r="L1166" s="320"/>
      <c r="M1166" s="320"/>
      <c r="N1166" s="320"/>
      <c r="O1166" s="321"/>
      <c r="P1166" s="321"/>
      <c r="Y1166" s="326"/>
      <c r="Z1166" s="326"/>
      <c r="AA1166" s="326"/>
      <c r="AB1166" s="326"/>
      <c r="AC1166" s="326"/>
      <c r="AD1166" s="326"/>
      <c r="AG1166" s="326"/>
      <c r="AH1166" s="326"/>
      <c r="AI1166" s="326"/>
      <c r="AL1166" s="326"/>
      <c r="AM1166" s="326"/>
      <c r="AN1166" s="326"/>
    </row>
    <row r="1167" spans="1:40" x14ac:dyDescent="0.15">
      <c r="A1167" s="327"/>
      <c r="B1167" s="320"/>
      <c r="C1167" s="320"/>
      <c r="D1167" s="320"/>
      <c r="E1167" s="320"/>
      <c r="F1167" s="320"/>
      <c r="G1167" s="320"/>
      <c r="H1167" s="320"/>
      <c r="I1167" s="320"/>
      <c r="J1167" s="320"/>
      <c r="K1167" s="320"/>
      <c r="L1167" s="320"/>
      <c r="M1167" s="320"/>
      <c r="N1167" s="320"/>
      <c r="O1167" s="321"/>
      <c r="P1167" s="321"/>
      <c r="Y1167" s="326"/>
      <c r="Z1167" s="326"/>
      <c r="AA1167" s="326"/>
      <c r="AB1167" s="326"/>
      <c r="AC1167" s="326"/>
      <c r="AD1167" s="326"/>
      <c r="AG1167" s="326"/>
      <c r="AH1167" s="326"/>
      <c r="AI1167" s="326"/>
      <c r="AL1167" s="326"/>
      <c r="AM1167" s="326"/>
      <c r="AN1167" s="326"/>
    </row>
    <row r="1168" spans="1:40" x14ac:dyDescent="0.15">
      <c r="A1168" s="327"/>
      <c r="B1168" s="320"/>
      <c r="C1168" s="320"/>
      <c r="D1168" s="320"/>
      <c r="E1168" s="320"/>
      <c r="F1168" s="320"/>
      <c r="G1168" s="320"/>
      <c r="H1168" s="320"/>
      <c r="I1168" s="320"/>
      <c r="J1168" s="320"/>
      <c r="K1168" s="320"/>
      <c r="L1168" s="320"/>
      <c r="M1168" s="320"/>
      <c r="N1168" s="320"/>
      <c r="O1168" s="321"/>
      <c r="P1168" s="321"/>
      <c r="Y1168" s="326"/>
      <c r="Z1168" s="326"/>
      <c r="AA1168" s="326"/>
      <c r="AB1168" s="326"/>
      <c r="AC1168" s="326"/>
      <c r="AD1168" s="326"/>
      <c r="AG1168" s="326"/>
      <c r="AH1168" s="326"/>
      <c r="AI1168" s="326"/>
      <c r="AL1168" s="326"/>
      <c r="AM1168" s="326"/>
      <c r="AN1168" s="326"/>
    </row>
    <row r="1169" spans="1:40" x14ac:dyDescent="0.15">
      <c r="A1169" s="327"/>
      <c r="B1169" s="320"/>
      <c r="C1169" s="320"/>
      <c r="D1169" s="320"/>
      <c r="E1169" s="320"/>
      <c r="F1169" s="320"/>
      <c r="G1169" s="320"/>
      <c r="H1169" s="320"/>
      <c r="I1169" s="320"/>
      <c r="J1169" s="320"/>
      <c r="K1169" s="320"/>
      <c r="L1169" s="320"/>
      <c r="M1169" s="320"/>
      <c r="N1169" s="320"/>
      <c r="O1169" s="321"/>
      <c r="P1169" s="321"/>
      <c r="Y1169" s="326"/>
      <c r="Z1169" s="326"/>
      <c r="AA1169" s="326"/>
      <c r="AB1169" s="326"/>
      <c r="AC1169" s="326"/>
      <c r="AD1169" s="326"/>
      <c r="AG1169" s="326"/>
      <c r="AH1169" s="326"/>
      <c r="AI1169" s="326"/>
      <c r="AL1169" s="326"/>
      <c r="AM1169" s="326"/>
      <c r="AN1169" s="326"/>
    </row>
    <row r="1170" spans="1:40" x14ac:dyDescent="0.15">
      <c r="A1170" s="327"/>
      <c r="B1170" s="320"/>
      <c r="C1170" s="320"/>
      <c r="D1170" s="320"/>
      <c r="E1170" s="320"/>
      <c r="F1170" s="320"/>
      <c r="G1170" s="320"/>
      <c r="H1170" s="320"/>
      <c r="I1170" s="320"/>
      <c r="J1170" s="320"/>
      <c r="K1170" s="320"/>
      <c r="L1170" s="320"/>
      <c r="M1170" s="320"/>
      <c r="N1170" s="320"/>
      <c r="O1170" s="321"/>
      <c r="P1170" s="321"/>
      <c r="Y1170" s="326"/>
      <c r="Z1170" s="326"/>
      <c r="AA1170" s="326"/>
      <c r="AB1170" s="326"/>
      <c r="AC1170" s="326"/>
      <c r="AD1170" s="326"/>
      <c r="AG1170" s="326"/>
      <c r="AH1170" s="326"/>
      <c r="AI1170" s="326"/>
      <c r="AL1170" s="326"/>
      <c r="AM1170" s="326"/>
      <c r="AN1170" s="326"/>
    </row>
    <row r="1171" spans="1:40" x14ac:dyDescent="0.15">
      <c r="A1171" s="327"/>
      <c r="B1171" s="320"/>
      <c r="C1171" s="320"/>
      <c r="D1171" s="320"/>
      <c r="E1171" s="320"/>
      <c r="F1171" s="320"/>
      <c r="G1171" s="320"/>
      <c r="H1171" s="320"/>
      <c r="I1171" s="320"/>
      <c r="J1171" s="320"/>
      <c r="K1171" s="320"/>
      <c r="L1171" s="320"/>
      <c r="M1171" s="320"/>
      <c r="N1171" s="320"/>
      <c r="O1171" s="321"/>
      <c r="P1171" s="321"/>
      <c r="Y1171" s="326"/>
      <c r="Z1171" s="326"/>
      <c r="AA1171" s="326"/>
      <c r="AB1171" s="326"/>
      <c r="AC1171" s="326"/>
      <c r="AD1171" s="326"/>
      <c r="AG1171" s="326"/>
      <c r="AH1171" s="326"/>
      <c r="AI1171" s="326"/>
      <c r="AL1171" s="326"/>
      <c r="AM1171" s="326"/>
      <c r="AN1171" s="326"/>
    </row>
    <row r="1172" spans="1:40" x14ac:dyDescent="0.15">
      <c r="A1172" s="327"/>
      <c r="B1172" s="320"/>
      <c r="C1172" s="320"/>
      <c r="D1172" s="320"/>
      <c r="E1172" s="320"/>
      <c r="F1172" s="320"/>
      <c r="G1172" s="320"/>
      <c r="H1172" s="320"/>
      <c r="I1172" s="320"/>
      <c r="J1172" s="320"/>
      <c r="K1172" s="320"/>
      <c r="L1172" s="320"/>
      <c r="M1172" s="320"/>
      <c r="N1172" s="320"/>
      <c r="O1172" s="321"/>
      <c r="P1172" s="321"/>
      <c r="Y1172" s="326"/>
      <c r="Z1172" s="326"/>
      <c r="AA1172" s="326"/>
      <c r="AB1172" s="326"/>
      <c r="AC1172" s="326"/>
      <c r="AD1172" s="326"/>
      <c r="AG1172" s="326"/>
      <c r="AH1172" s="326"/>
      <c r="AI1172" s="326"/>
      <c r="AL1172" s="326"/>
      <c r="AM1172" s="326"/>
      <c r="AN1172" s="326"/>
    </row>
    <row r="1173" spans="1:40" x14ac:dyDescent="0.15">
      <c r="A1173" s="327"/>
      <c r="B1173" s="320"/>
      <c r="C1173" s="320"/>
      <c r="D1173" s="320"/>
      <c r="E1173" s="320"/>
      <c r="F1173" s="320"/>
      <c r="G1173" s="320"/>
      <c r="H1173" s="320"/>
      <c r="I1173" s="320"/>
      <c r="J1173" s="320"/>
      <c r="K1173" s="320"/>
      <c r="L1173" s="320"/>
      <c r="M1173" s="320"/>
      <c r="N1173" s="320"/>
      <c r="O1173" s="321"/>
      <c r="P1173" s="321"/>
      <c r="Y1173" s="326"/>
      <c r="Z1173" s="326"/>
      <c r="AA1173" s="326"/>
      <c r="AB1173" s="326"/>
      <c r="AC1173" s="326"/>
      <c r="AD1173" s="326"/>
      <c r="AG1173" s="326"/>
      <c r="AH1173" s="326"/>
      <c r="AI1173" s="326"/>
      <c r="AL1173" s="326"/>
      <c r="AM1173" s="326"/>
      <c r="AN1173" s="326"/>
    </row>
    <row r="1174" spans="1:40" x14ac:dyDescent="0.15">
      <c r="A1174" s="327"/>
      <c r="B1174" s="320"/>
      <c r="C1174" s="320"/>
      <c r="D1174" s="320"/>
      <c r="E1174" s="320"/>
      <c r="F1174" s="320"/>
      <c r="G1174" s="320"/>
      <c r="H1174" s="320"/>
      <c r="I1174" s="320"/>
      <c r="J1174" s="320"/>
      <c r="K1174" s="320"/>
      <c r="L1174" s="320"/>
      <c r="M1174" s="320"/>
      <c r="N1174" s="320"/>
      <c r="O1174" s="321"/>
      <c r="P1174" s="321"/>
      <c r="Y1174" s="326"/>
      <c r="Z1174" s="326"/>
      <c r="AA1174" s="326"/>
      <c r="AB1174" s="326"/>
      <c r="AC1174" s="326"/>
      <c r="AD1174" s="326"/>
      <c r="AG1174" s="326"/>
      <c r="AH1174" s="326"/>
      <c r="AI1174" s="326"/>
      <c r="AL1174" s="326"/>
      <c r="AM1174" s="326"/>
      <c r="AN1174" s="326"/>
    </row>
    <row r="1175" spans="1:40" x14ac:dyDescent="0.15">
      <c r="A1175" s="327"/>
      <c r="B1175" s="320"/>
      <c r="C1175" s="320"/>
      <c r="D1175" s="320"/>
      <c r="E1175" s="320"/>
      <c r="F1175" s="320"/>
      <c r="G1175" s="320"/>
      <c r="H1175" s="320"/>
      <c r="I1175" s="320"/>
      <c r="J1175" s="320"/>
      <c r="K1175" s="320"/>
      <c r="L1175" s="320"/>
      <c r="M1175" s="320"/>
      <c r="N1175" s="320"/>
      <c r="O1175" s="321"/>
      <c r="P1175" s="321"/>
      <c r="Y1175" s="326"/>
      <c r="Z1175" s="326"/>
      <c r="AA1175" s="326"/>
      <c r="AB1175" s="326"/>
      <c r="AC1175" s="326"/>
      <c r="AD1175" s="326"/>
      <c r="AG1175" s="326"/>
      <c r="AH1175" s="326"/>
      <c r="AI1175" s="326"/>
      <c r="AL1175" s="326"/>
      <c r="AM1175" s="326"/>
      <c r="AN1175" s="326"/>
    </row>
    <row r="1176" spans="1:40" x14ac:dyDescent="0.15">
      <c r="A1176" s="327"/>
      <c r="B1176" s="320"/>
      <c r="C1176" s="320"/>
      <c r="D1176" s="320"/>
      <c r="E1176" s="320"/>
      <c r="F1176" s="320"/>
      <c r="G1176" s="320"/>
      <c r="H1176" s="320"/>
      <c r="I1176" s="320"/>
      <c r="J1176" s="320"/>
      <c r="K1176" s="320"/>
      <c r="L1176" s="320"/>
      <c r="M1176" s="320"/>
      <c r="N1176" s="320"/>
      <c r="O1176" s="321"/>
      <c r="P1176" s="321"/>
      <c r="Y1176" s="326"/>
      <c r="Z1176" s="326"/>
      <c r="AA1176" s="326"/>
      <c r="AB1176" s="326"/>
      <c r="AC1176" s="326"/>
      <c r="AD1176" s="326"/>
      <c r="AG1176" s="326"/>
      <c r="AH1176" s="326"/>
      <c r="AI1176" s="326"/>
      <c r="AL1176" s="326"/>
      <c r="AM1176" s="326"/>
      <c r="AN1176" s="326"/>
    </row>
    <row r="1177" spans="1:40" x14ac:dyDescent="0.15">
      <c r="A1177" s="327"/>
      <c r="B1177" s="320"/>
      <c r="C1177" s="320"/>
      <c r="D1177" s="320"/>
      <c r="E1177" s="320"/>
      <c r="F1177" s="320"/>
      <c r="G1177" s="320"/>
      <c r="H1177" s="320"/>
      <c r="I1177" s="320"/>
      <c r="J1177" s="320"/>
      <c r="K1177" s="320"/>
      <c r="L1177" s="320"/>
      <c r="M1177" s="320"/>
      <c r="N1177" s="320"/>
      <c r="O1177" s="321"/>
      <c r="P1177" s="321"/>
      <c r="Y1177" s="326"/>
      <c r="Z1177" s="326"/>
      <c r="AA1177" s="326"/>
      <c r="AB1177" s="326"/>
      <c r="AC1177" s="326"/>
      <c r="AD1177" s="326"/>
      <c r="AG1177" s="326"/>
      <c r="AH1177" s="326"/>
      <c r="AI1177" s="326"/>
      <c r="AL1177" s="326"/>
      <c r="AM1177" s="326"/>
      <c r="AN1177" s="326"/>
    </row>
    <row r="1178" spans="1:40" x14ac:dyDescent="0.15">
      <c r="A1178" s="327"/>
      <c r="B1178" s="320"/>
      <c r="C1178" s="320"/>
      <c r="D1178" s="320"/>
      <c r="E1178" s="320"/>
      <c r="F1178" s="320"/>
      <c r="G1178" s="320"/>
      <c r="H1178" s="320"/>
      <c r="I1178" s="320"/>
      <c r="J1178" s="320"/>
      <c r="K1178" s="320"/>
      <c r="L1178" s="320"/>
      <c r="M1178" s="320"/>
      <c r="N1178" s="320"/>
      <c r="O1178" s="321"/>
      <c r="P1178" s="321"/>
      <c r="Y1178" s="326"/>
      <c r="Z1178" s="326"/>
      <c r="AA1178" s="326"/>
      <c r="AB1178" s="326"/>
      <c r="AC1178" s="326"/>
      <c r="AD1178" s="326"/>
      <c r="AG1178" s="326"/>
      <c r="AH1178" s="326"/>
      <c r="AI1178" s="326"/>
      <c r="AL1178" s="326"/>
      <c r="AM1178" s="326"/>
      <c r="AN1178" s="326"/>
    </row>
    <row r="1179" spans="1:40" x14ac:dyDescent="0.15">
      <c r="A1179" s="327"/>
      <c r="B1179" s="320"/>
      <c r="C1179" s="320"/>
      <c r="D1179" s="320"/>
      <c r="E1179" s="320"/>
      <c r="F1179" s="320"/>
      <c r="G1179" s="320"/>
      <c r="H1179" s="320"/>
      <c r="I1179" s="320"/>
      <c r="J1179" s="320"/>
      <c r="K1179" s="320"/>
      <c r="L1179" s="320"/>
      <c r="M1179" s="320"/>
      <c r="N1179" s="320"/>
      <c r="O1179" s="321"/>
      <c r="P1179" s="321"/>
      <c r="Y1179" s="326"/>
      <c r="Z1179" s="326"/>
      <c r="AA1179" s="326"/>
      <c r="AB1179" s="326"/>
      <c r="AC1179" s="326"/>
      <c r="AD1179" s="326"/>
      <c r="AG1179" s="326"/>
      <c r="AH1179" s="326"/>
      <c r="AI1179" s="326"/>
      <c r="AL1179" s="326"/>
      <c r="AM1179" s="326"/>
      <c r="AN1179" s="326"/>
    </row>
    <row r="1180" spans="1:40" x14ac:dyDescent="0.15">
      <c r="A1180" s="327"/>
      <c r="B1180" s="320"/>
      <c r="C1180" s="320"/>
      <c r="D1180" s="320"/>
      <c r="E1180" s="320"/>
      <c r="F1180" s="320"/>
      <c r="G1180" s="320"/>
      <c r="H1180" s="320"/>
      <c r="I1180" s="320"/>
      <c r="J1180" s="320"/>
      <c r="K1180" s="320"/>
      <c r="L1180" s="320"/>
      <c r="M1180" s="320"/>
      <c r="N1180" s="320"/>
      <c r="O1180" s="321"/>
      <c r="P1180" s="321"/>
      <c r="Y1180" s="326"/>
      <c r="Z1180" s="326"/>
      <c r="AA1180" s="326"/>
      <c r="AB1180" s="326"/>
      <c r="AC1180" s="326"/>
      <c r="AD1180" s="326"/>
      <c r="AG1180" s="326"/>
      <c r="AH1180" s="326"/>
      <c r="AI1180" s="326"/>
      <c r="AL1180" s="326"/>
      <c r="AM1180" s="326"/>
      <c r="AN1180" s="326"/>
    </row>
    <row r="1181" spans="1:40" x14ac:dyDescent="0.15">
      <c r="A1181" s="327"/>
      <c r="B1181" s="320"/>
      <c r="C1181" s="320"/>
      <c r="D1181" s="320"/>
      <c r="E1181" s="320"/>
      <c r="F1181" s="320"/>
      <c r="G1181" s="320"/>
      <c r="H1181" s="320"/>
      <c r="I1181" s="320"/>
      <c r="J1181" s="320"/>
      <c r="K1181" s="320"/>
      <c r="L1181" s="320"/>
      <c r="M1181" s="320"/>
      <c r="N1181" s="320"/>
      <c r="O1181" s="321"/>
      <c r="P1181" s="321"/>
      <c r="Y1181" s="326"/>
      <c r="Z1181" s="326"/>
      <c r="AA1181" s="326"/>
      <c r="AB1181" s="326"/>
      <c r="AC1181" s="326"/>
      <c r="AD1181" s="326"/>
      <c r="AG1181" s="326"/>
      <c r="AH1181" s="326"/>
      <c r="AI1181" s="326"/>
      <c r="AL1181" s="326"/>
      <c r="AM1181" s="326"/>
      <c r="AN1181" s="326"/>
    </row>
    <row r="1182" spans="1:40" x14ac:dyDescent="0.15">
      <c r="A1182" s="327"/>
      <c r="B1182" s="320"/>
      <c r="C1182" s="320"/>
      <c r="D1182" s="320"/>
      <c r="E1182" s="320"/>
      <c r="F1182" s="320"/>
      <c r="G1182" s="320"/>
      <c r="H1182" s="320"/>
      <c r="I1182" s="320"/>
      <c r="J1182" s="320"/>
      <c r="K1182" s="320"/>
      <c r="L1182" s="320"/>
      <c r="M1182" s="320"/>
      <c r="N1182" s="320"/>
      <c r="O1182" s="321"/>
      <c r="P1182" s="321"/>
      <c r="Y1182" s="326"/>
      <c r="Z1182" s="326"/>
      <c r="AA1182" s="326"/>
      <c r="AB1182" s="326"/>
      <c r="AC1182" s="326"/>
      <c r="AD1182" s="326"/>
      <c r="AG1182" s="326"/>
      <c r="AH1182" s="326"/>
      <c r="AI1182" s="326"/>
      <c r="AL1182" s="326"/>
      <c r="AM1182" s="326"/>
      <c r="AN1182" s="326"/>
    </row>
    <row r="1183" spans="1:40" x14ac:dyDescent="0.15">
      <c r="A1183" s="327"/>
      <c r="B1183" s="320"/>
      <c r="C1183" s="320"/>
      <c r="D1183" s="320"/>
      <c r="E1183" s="320"/>
      <c r="F1183" s="320"/>
      <c r="G1183" s="320"/>
      <c r="H1183" s="320"/>
      <c r="I1183" s="320"/>
      <c r="J1183" s="320"/>
      <c r="K1183" s="320"/>
      <c r="L1183" s="320"/>
      <c r="M1183" s="320"/>
      <c r="N1183" s="320"/>
      <c r="O1183" s="321"/>
      <c r="P1183" s="321"/>
      <c r="Y1183" s="326"/>
      <c r="Z1183" s="326"/>
      <c r="AA1183" s="326"/>
      <c r="AB1183" s="326"/>
      <c r="AC1183" s="326"/>
      <c r="AD1183" s="326"/>
      <c r="AG1183" s="326"/>
      <c r="AH1183" s="326"/>
      <c r="AI1183" s="326"/>
      <c r="AL1183" s="326"/>
      <c r="AM1183" s="326"/>
      <c r="AN1183" s="326"/>
    </row>
    <row r="1184" spans="1:40" x14ac:dyDescent="0.15">
      <c r="A1184" s="327"/>
      <c r="B1184" s="320"/>
      <c r="C1184" s="320"/>
      <c r="D1184" s="320"/>
      <c r="E1184" s="320"/>
      <c r="F1184" s="320"/>
      <c r="G1184" s="320"/>
      <c r="H1184" s="320"/>
      <c r="I1184" s="320"/>
      <c r="J1184" s="320"/>
      <c r="K1184" s="320"/>
      <c r="L1184" s="320"/>
      <c r="M1184" s="320"/>
      <c r="N1184" s="320"/>
      <c r="O1184" s="321"/>
      <c r="P1184" s="321"/>
      <c r="Y1184" s="326"/>
      <c r="Z1184" s="326"/>
      <c r="AA1184" s="326"/>
      <c r="AB1184" s="326"/>
      <c r="AC1184" s="326"/>
      <c r="AD1184" s="326"/>
      <c r="AG1184" s="326"/>
      <c r="AH1184" s="326"/>
      <c r="AI1184" s="326"/>
      <c r="AL1184" s="326"/>
      <c r="AM1184" s="326"/>
      <c r="AN1184" s="326"/>
    </row>
    <row r="1185" spans="1:40" x14ac:dyDescent="0.15">
      <c r="A1185" s="327"/>
      <c r="B1185" s="320"/>
      <c r="C1185" s="320"/>
      <c r="D1185" s="320"/>
      <c r="E1185" s="320"/>
      <c r="F1185" s="320"/>
      <c r="G1185" s="320"/>
      <c r="H1185" s="320"/>
      <c r="I1185" s="320"/>
      <c r="J1185" s="320"/>
      <c r="K1185" s="320"/>
      <c r="L1185" s="320"/>
      <c r="M1185" s="320"/>
      <c r="N1185" s="320"/>
      <c r="O1185" s="321"/>
      <c r="P1185" s="321"/>
      <c r="Y1185" s="326"/>
      <c r="Z1185" s="326"/>
      <c r="AA1185" s="326"/>
      <c r="AB1185" s="326"/>
      <c r="AC1185" s="326"/>
      <c r="AD1185" s="326"/>
      <c r="AG1185" s="326"/>
      <c r="AH1185" s="326"/>
      <c r="AI1185" s="326"/>
      <c r="AL1185" s="326"/>
      <c r="AM1185" s="326"/>
      <c r="AN1185" s="326"/>
    </row>
    <row r="1186" spans="1:40" x14ac:dyDescent="0.15">
      <c r="A1186" s="327"/>
      <c r="B1186" s="320"/>
      <c r="C1186" s="320"/>
      <c r="D1186" s="320"/>
      <c r="E1186" s="320"/>
      <c r="F1186" s="320"/>
      <c r="G1186" s="320"/>
      <c r="H1186" s="320"/>
      <c r="I1186" s="320"/>
      <c r="J1186" s="320"/>
      <c r="K1186" s="320"/>
      <c r="L1186" s="320"/>
      <c r="M1186" s="320"/>
      <c r="N1186" s="320"/>
      <c r="O1186" s="321"/>
      <c r="P1186" s="321"/>
      <c r="Y1186" s="326"/>
      <c r="Z1186" s="326"/>
      <c r="AA1186" s="326"/>
      <c r="AB1186" s="326"/>
      <c r="AC1186" s="326"/>
      <c r="AD1186" s="326"/>
      <c r="AG1186" s="326"/>
      <c r="AH1186" s="326"/>
      <c r="AI1186" s="326"/>
      <c r="AL1186" s="326"/>
      <c r="AM1186" s="326"/>
      <c r="AN1186" s="326"/>
    </row>
    <row r="1187" spans="1:40" x14ac:dyDescent="0.15">
      <c r="A1187" s="327"/>
      <c r="B1187" s="320"/>
      <c r="C1187" s="320"/>
      <c r="D1187" s="320"/>
      <c r="E1187" s="320"/>
      <c r="F1187" s="320"/>
      <c r="G1187" s="320"/>
      <c r="H1187" s="320"/>
      <c r="I1187" s="320"/>
      <c r="J1187" s="320"/>
      <c r="K1187" s="320"/>
      <c r="L1187" s="320"/>
      <c r="M1187" s="320"/>
      <c r="N1187" s="320"/>
      <c r="O1187" s="321"/>
      <c r="P1187" s="321"/>
      <c r="Y1187" s="326"/>
      <c r="Z1187" s="326"/>
      <c r="AA1187" s="326"/>
      <c r="AB1187" s="326"/>
      <c r="AC1187" s="326"/>
      <c r="AD1187" s="326"/>
      <c r="AG1187" s="326"/>
      <c r="AH1187" s="326"/>
      <c r="AI1187" s="326"/>
      <c r="AL1187" s="326"/>
      <c r="AM1187" s="326"/>
      <c r="AN1187" s="326"/>
    </row>
    <row r="1188" spans="1:40" x14ac:dyDescent="0.15">
      <c r="A1188" s="327"/>
      <c r="B1188" s="320"/>
      <c r="C1188" s="320"/>
      <c r="D1188" s="320"/>
      <c r="E1188" s="320"/>
      <c r="F1188" s="320"/>
      <c r="G1188" s="320"/>
      <c r="H1188" s="320"/>
      <c r="I1188" s="320"/>
      <c r="J1188" s="320"/>
      <c r="K1188" s="320"/>
      <c r="L1188" s="320"/>
      <c r="M1188" s="320"/>
      <c r="N1188" s="320"/>
      <c r="O1188" s="321"/>
      <c r="P1188" s="321"/>
      <c r="Y1188" s="326"/>
      <c r="Z1188" s="326"/>
      <c r="AA1188" s="326"/>
      <c r="AB1188" s="326"/>
      <c r="AC1188" s="326"/>
      <c r="AD1188" s="326"/>
      <c r="AG1188" s="326"/>
      <c r="AH1188" s="326"/>
      <c r="AI1188" s="326"/>
      <c r="AL1188" s="326"/>
      <c r="AM1188" s="326"/>
      <c r="AN1188" s="326"/>
    </row>
    <row r="1189" spans="1:40" x14ac:dyDescent="0.15">
      <c r="A1189" s="327"/>
      <c r="B1189" s="320"/>
      <c r="C1189" s="320"/>
      <c r="D1189" s="320"/>
      <c r="E1189" s="320"/>
      <c r="F1189" s="320"/>
      <c r="G1189" s="320"/>
      <c r="H1189" s="320"/>
      <c r="I1189" s="320"/>
      <c r="J1189" s="320"/>
      <c r="K1189" s="320"/>
      <c r="L1189" s="320"/>
      <c r="M1189" s="320"/>
      <c r="N1189" s="320"/>
      <c r="O1189" s="321"/>
      <c r="P1189" s="321"/>
      <c r="Y1189" s="326"/>
      <c r="Z1189" s="326"/>
      <c r="AA1189" s="326"/>
      <c r="AB1189" s="326"/>
      <c r="AC1189" s="326"/>
      <c r="AD1189" s="326"/>
      <c r="AG1189" s="326"/>
      <c r="AH1189" s="326"/>
      <c r="AI1189" s="326"/>
      <c r="AL1189" s="326"/>
      <c r="AM1189" s="326"/>
      <c r="AN1189" s="326"/>
    </row>
    <row r="1190" spans="1:40" x14ac:dyDescent="0.15">
      <c r="A1190" s="327"/>
      <c r="B1190" s="320"/>
      <c r="C1190" s="320"/>
      <c r="D1190" s="320"/>
      <c r="E1190" s="320"/>
      <c r="F1190" s="320"/>
      <c r="G1190" s="320"/>
      <c r="H1190" s="320"/>
      <c r="I1190" s="320"/>
      <c r="J1190" s="320"/>
      <c r="K1190" s="320"/>
      <c r="L1190" s="320"/>
      <c r="M1190" s="320"/>
      <c r="N1190" s="320"/>
      <c r="O1190" s="321"/>
      <c r="P1190" s="321"/>
      <c r="Y1190" s="326"/>
      <c r="Z1190" s="326"/>
      <c r="AA1190" s="326"/>
      <c r="AB1190" s="326"/>
      <c r="AC1190" s="326"/>
      <c r="AD1190" s="326"/>
      <c r="AG1190" s="326"/>
      <c r="AH1190" s="326"/>
      <c r="AI1190" s="326"/>
      <c r="AL1190" s="326"/>
      <c r="AM1190" s="326"/>
      <c r="AN1190" s="326"/>
    </row>
    <row r="1191" spans="1:40" x14ac:dyDescent="0.15">
      <c r="A1191" s="327"/>
      <c r="B1191" s="320"/>
      <c r="C1191" s="320"/>
      <c r="D1191" s="320"/>
      <c r="E1191" s="320"/>
      <c r="F1191" s="320"/>
      <c r="G1191" s="320"/>
      <c r="H1191" s="320"/>
      <c r="I1191" s="320"/>
      <c r="J1191" s="320"/>
      <c r="K1191" s="320"/>
      <c r="L1191" s="320"/>
      <c r="M1191" s="320"/>
      <c r="N1191" s="320"/>
      <c r="O1191" s="321"/>
      <c r="P1191" s="321"/>
      <c r="Y1191" s="326"/>
      <c r="Z1191" s="326"/>
      <c r="AA1191" s="326"/>
      <c r="AB1191" s="326"/>
      <c r="AC1191" s="326"/>
      <c r="AD1191" s="326"/>
      <c r="AG1191" s="326"/>
      <c r="AH1191" s="326"/>
      <c r="AI1191" s="326"/>
      <c r="AL1191" s="326"/>
      <c r="AM1191" s="326"/>
      <c r="AN1191" s="326"/>
    </row>
    <row r="1192" spans="1:40" x14ac:dyDescent="0.15">
      <c r="A1192" s="327"/>
      <c r="B1192" s="320"/>
      <c r="C1192" s="320"/>
      <c r="D1192" s="320"/>
      <c r="E1192" s="320"/>
      <c r="F1192" s="320"/>
      <c r="G1192" s="320"/>
      <c r="H1192" s="320"/>
      <c r="I1192" s="320"/>
      <c r="J1192" s="320"/>
      <c r="K1192" s="320"/>
      <c r="L1192" s="320"/>
      <c r="M1192" s="320"/>
      <c r="N1192" s="320"/>
      <c r="O1192" s="321"/>
      <c r="P1192" s="321"/>
      <c r="Y1192" s="326"/>
      <c r="Z1192" s="326"/>
      <c r="AA1192" s="326"/>
      <c r="AB1192" s="326"/>
      <c r="AC1192" s="326"/>
      <c r="AD1192" s="326"/>
      <c r="AG1192" s="326"/>
      <c r="AH1192" s="326"/>
      <c r="AI1192" s="326"/>
      <c r="AL1192" s="326"/>
      <c r="AM1192" s="326"/>
      <c r="AN1192" s="326"/>
    </row>
    <row r="1193" spans="1:40" x14ac:dyDescent="0.15">
      <c r="A1193" s="327"/>
      <c r="B1193" s="320"/>
      <c r="C1193" s="320"/>
      <c r="D1193" s="320"/>
      <c r="E1193" s="320"/>
      <c r="F1193" s="320"/>
      <c r="G1193" s="320"/>
      <c r="H1193" s="320"/>
      <c r="I1193" s="320"/>
      <c r="J1193" s="320"/>
      <c r="K1193" s="320"/>
      <c r="L1193" s="320"/>
      <c r="M1193" s="320"/>
      <c r="N1193" s="320"/>
      <c r="O1193" s="321"/>
      <c r="P1193" s="321"/>
      <c r="Y1193" s="326"/>
      <c r="Z1193" s="326"/>
      <c r="AA1193" s="326"/>
      <c r="AB1193" s="326"/>
      <c r="AC1193" s="326"/>
      <c r="AD1193" s="326"/>
      <c r="AG1193" s="326"/>
      <c r="AH1193" s="326"/>
      <c r="AI1193" s="326"/>
      <c r="AL1193" s="326"/>
      <c r="AM1193" s="326"/>
      <c r="AN1193" s="326"/>
    </row>
    <row r="1194" spans="1:40" x14ac:dyDescent="0.15">
      <c r="A1194" s="327"/>
      <c r="B1194" s="320"/>
      <c r="C1194" s="320"/>
      <c r="D1194" s="320"/>
      <c r="E1194" s="320"/>
      <c r="F1194" s="320"/>
      <c r="G1194" s="320"/>
      <c r="H1194" s="320"/>
      <c r="I1194" s="320"/>
      <c r="J1194" s="320"/>
      <c r="K1194" s="320"/>
      <c r="L1194" s="320"/>
      <c r="M1194" s="320"/>
      <c r="N1194" s="320"/>
      <c r="O1194" s="321"/>
      <c r="P1194" s="321"/>
      <c r="Y1194" s="326"/>
      <c r="Z1194" s="326"/>
      <c r="AA1194" s="326"/>
      <c r="AB1194" s="326"/>
      <c r="AC1194" s="326"/>
      <c r="AD1194" s="326"/>
      <c r="AG1194" s="326"/>
      <c r="AH1194" s="326"/>
      <c r="AI1194" s="326"/>
      <c r="AL1194" s="326"/>
      <c r="AM1194" s="326"/>
      <c r="AN1194" s="326"/>
    </row>
    <row r="1195" spans="1:40" x14ac:dyDescent="0.15">
      <c r="A1195" s="327"/>
      <c r="B1195" s="320"/>
      <c r="C1195" s="320"/>
      <c r="D1195" s="320"/>
      <c r="E1195" s="320"/>
      <c r="F1195" s="320"/>
      <c r="G1195" s="320"/>
      <c r="H1195" s="320"/>
      <c r="I1195" s="320"/>
      <c r="J1195" s="320"/>
      <c r="K1195" s="320"/>
      <c r="L1195" s="320"/>
      <c r="M1195" s="320"/>
      <c r="N1195" s="320"/>
      <c r="O1195" s="321"/>
      <c r="P1195" s="321"/>
      <c r="Y1195" s="326"/>
      <c r="Z1195" s="326"/>
      <c r="AA1195" s="326"/>
      <c r="AB1195" s="326"/>
      <c r="AC1195" s="326"/>
      <c r="AD1195" s="326"/>
      <c r="AG1195" s="326"/>
      <c r="AH1195" s="326"/>
      <c r="AI1195" s="326"/>
      <c r="AL1195" s="326"/>
      <c r="AM1195" s="326"/>
      <c r="AN1195" s="326"/>
    </row>
    <row r="1196" spans="1:40" x14ac:dyDescent="0.15">
      <c r="A1196" s="327"/>
      <c r="B1196" s="320"/>
      <c r="C1196" s="320"/>
      <c r="D1196" s="320"/>
      <c r="E1196" s="320"/>
      <c r="F1196" s="320"/>
      <c r="G1196" s="320"/>
      <c r="H1196" s="320"/>
      <c r="I1196" s="320"/>
      <c r="J1196" s="320"/>
      <c r="K1196" s="320"/>
      <c r="L1196" s="320"/>
      <c r="M1196" s="320"/>
      <c r="N1196" s="320"/>
      <c r="O1196" s="321"/>
      <c r="P1196" s="321"/>
      <c r="Y1196" s="326"/>
      <c r="Z1196" s="326"/>
      <c r="AA1196" s="326"/>
      <c r="AB1196" s="326"/>
      <c r="AC1196" s="326"/>
      <c r="AD1196" s="326"/>
      <c r="AG1196" s="326"/>
      <c r="AH1196" s="326"/>
      <c r="AI1196" s="326"/>
      <c r="AL1196" s="326"/>
      <c r="AM1196" s="326"/>
      <c r="AN1196" s="326"/>
    </row>
    <row r="1197" spans="1:40" x14ac:dyDescent="0.15">
      <c r="A1197" s="327"/>
      <c r="B1197" s="320"/>
      <c r="C1197" s="320"/>
      <c r="D1197" s="320"/>
      <c r="E1197" s="320"/>
      <c r="F1197" s="320"/>
      <c r="G1197" s="320"/>
      <c r="H1197" s="320"/>
      <c r="I1197" s="320"/>
      <c r="J1197" s="320"/>
      <c r="K1197" s="320"/>
      <c r="L1197" s="320"/>
      <c r="M1197" s="320"/>
      <c r="N1197" s="320"/>
      <c r="O1197" s="321"/>
      <c r="P1197" s="321"/>
      <c r="Y1197" s="326"/>
      <c r="Z1197" s="326"/>
      <c r="AA1197" s="326"/>
      <c r="AB1197" s="326"/>
      <c r="AC1197" s="326"/>
      <c r="AD1197" s="326"/>
      <c r="AG1197" s="326"/>
      <c r="AH1197" s="326"/>
      <c r="AI1197" s="326"/>
      <c r="AL1197" s="326"/>
      <c r="AM1197" s="326"/>
      <c r="AN1197" s="326"/>
    </row>
    <row r="1198" spans="1:40" x14ac:dyDescent="0.15">
      <c r="A1198" s="327"/>
      <c r="B1198" s="320"/>
      <c r="C1198" s="320"/>
      <c r="D1198" s="320"/>
      <c r="E1198" s="320"/>
      <c r="F1198" s="320"/>
      <c r="G1198" s="320"/>
      <c r="H1198" s="320"/>
      <c r="I1198" s="320"/>
      <c r="J1198" s="320"/>
      <c r="K1198" s="320"/>
      <c r="L1198" s="320"/>
      <c r="M1198" s="320"/>
      <c r="N1198" s="320"/>
      <c r="O1198" s="321"/>
      <c r="P1198" s="321"/>
      <c r="Y1198" s="326"/>
      <c r="Z1198" s="326"/>
      <c r="AA1198" s="326"/>
      <c r="AB1198" s="326"/>
      <c r="AC1198" s="326"/>
      <c r="AD1198" s="326"/>
      <c r="AG1198" s="326"/>
      <c r="AH1198" s="326"/>
      <c r="AI1198" s="326"/>
      <c r="AL1198" s="326"/>
      <c r="AM1198" s="326"/>
      <c r="AN1198" s="326"/>
    </row>
    <row r="1199" spans="1:40" x14ac:dyDescent="0.15">
      <c r="A1199" s="327"/>
      <c r="B1199" s="320"/>
      <c r="C1199" s="320"/>
      <c r="D1199" s="320"/>
      <c r="E1199" s="320"/>
      <c r="F1199" s="320"/>
      <c r="G1199" s="320"/>
      <c r="H1199" s="320"/>
      <c r="I1199" s="320"/>
      <c r="J1199" s="320"/>
      <c r="K1199" s="320"/>
      <c r="L1199" s="320"/>
      <c r="M1199" s="320"/>
      <c r="N1199" s="320"/>
      <c r="O1199" s="321"/>
      <c r="P1199" s="321"/>
      <c r="Y1199" s="326"/>
      <c r="Z1199" s="326"/>
      <c r="AA1199" s="326"/>
      <c r="AB1199" s="326"/>
      <c r="AC1199" s="326"/>
      <c r="AD1199" s="326"/>
      <c r="AG1199" s="326"/>
      <c r="AH1199" s="326"/>
      <c r="AI1199" s="326"/>
      <c r="AL1199" s="326"/>
      <c r="AM1199" s="326"/>
      <c r="AN1199" s="326"/>
    </row>
    <row r="1200" spans="1:40" x14ac:dyDescent="0.15">
      <c r="A1200" s="327"/>
      <c r="B1200" s="320"/>
      <c r="C1200" s="320"/>
      <c r="D1200" s="320"/>
      <c r="E1200" s="320"/>
      <c r="F1200" s="320"/>
      <c r="G1200" s="320"/>
      <c r="H1200" s="320"/>
      <c r="I1200" s="320"/>
      <c r="J1200" s="320"/>
      <c r="K1200" s="320"/>
      <c r="L1200" s="320"/>
      <c r="M1200" s="320"/>
      <c r="N1200" s="320"/>
      <c r="O1200" s="321"/>
      <c r="P1200" s="321"/>
      <c r="Y1200" s="326"/>
      <c r="Z1200" s="326"/>
      <c r="AA1200" s="326"/>
      <c r="AB1200" s="326"/>
      <c r="AC1200" s="326"/>
      <c r="AD1200" s="326"/>
      <c r="AG1200" s="326"/>
      <c r="AH1200" s="326"/>
      <c r="AI1200" s="326"/>
      <c r="AL1200" s="326"/>
      <c r="AM1200" s="326"/>
      <c r="AN1200" s="326"/>
    </row>
    <row r="1201" spans="1:40" x14ac:dyDescent="0.15">
      <c r="A1201" s="327"/>
      <c r="B1201" s="320"/>
      <c r="C1201" s="320"/>
      <c r="D1201" s="320"/>
      <c r="E1201" s="320"/>
      <c r="F1201" s="320"/>
      <c r="G1201" s="320"/>
      <c r="H1201" s="320"/>
      <c r="I1201" s="320"/>
      <c r="J1201" s="320"/>
      <c r="K1201" s="320"/>
      <c r="L1201" s="320"/>
      <c r="M1201" s="320"/>
      <c r="N1201" s="320"/>
      <c r="O1201" s="321"/>
      <c r="P1201" s="321"/>
      <c r="Y1201" s="326"/>
      <c r="Z1201" s="326"/>
      <c r="AA1201" s="326"/>
      <c r="AB1201" s="326"/>
      <c r="AC1201" s="326"/>
      <c r="AD1201" s="326"/>
      <c r="AG1201" s="326"/>
      <c r="AH1201" s="326"/>
      <c r="AI1201" s="326"/>
      <c r="AL1201" s="326"/>
      <c r="AM1201" s="326"/>
      <c r="AN1201" s="326"/>
    </row>
    <row r="1202" spans="1:40" x14ac:dyDescent="0.15">
      <c r="A1202" s="327"/>
      <c r="B1202" s="320"/>
      <c r="C1202" s="320"/>
      <c r="D1202" s="320"/>
      <c r="E1202" s="320"/>
      <c r="F1202" s="320"/>
      <c r="G1202" s="320"/>
      <c r="H1202" s="320"/>
      <c r="I1202" s="320"/>
      <c r="J1202" s="320"/>
      <c r="K1202" s="320"/>
      <c r="L1202" s="320"/>
      <c r="M1202" s="320"/>
      <c r="N1202" s="320"/>
      <c r="O1202" s="321"/>
      <c r="P1202" s="321"/>
      <c r="Y1202" s="326"/>
      <c r="Z1202" s="326"/>
      <c r="AA1202" s="326"/>
      <c r="AB1202" s="326"/>
      <c r="AC1202" s="326"/>
      <c r="AD1202" s="326"/>
      <c r="AG1202" s="326"/>
      <c r="AH1202" s="326"/>
      <c r="AI1202" s="326"/>
      <c r="AL1202" s="326"/>
      <c r="AM1202" s="326"/>
      <c r="AN1202" s="326"/>
    </row>
    <row r="1203" spans="1:40" x14ac:dyDescent="0.15">
      <c r="A1203" s="327"/>
      <c r="B1203" s="320"/>
      <c r="C1203" s="320"/>
      <c r="D1203" s="320"/>
      <c r="E1203" s="320"/>
      <c r="F1203" s="320"/>
      <c r="G1203" s="320"/>
      <c r="H1203" s="320"/>
      <c r="I1203" s="320"/>
      <c r="J1203" s="320"/>
      <c r="K1203" s="320"/>
      <c r="L1203" s="320"/>
      <c r="M1203" s="320"/>
      <c r="N1203" s="320"/>
      <c r="O1203" s="321"/>
      <c r="P1203" s="321"/>
      <c r="Y1203" s="326"/>
      <c r="Z1203" s="326"/>
      <c r="AA1203" s="326"/>
      <c r="AB1203" s="326"/>
      <c r="AC1203" s="326"/>
      <c r="AD1203" s="326"/>
      <c r="AG1203" s="326"/>
      <c r="AH1203" s="326"/>
      <c r="AI1203" s="326"/>
      <c r="AL1203" s="326"/>
      <c r="AM1203" s="326"/>
      <c r="AN1203" s="326"/>
    </row>
    <row r="1204" spans="1:40" x14ac:dyDescent="0.15">
      <c r="A1204" s="327"/>
      <c r="B1204" s="320"/>
      <c r="C1204" s="320"/>
      <c r="D1204" s="320"/>
      <c r="E1204" s="320"/>
      <c r="F1204" s="320"/>
      <c r="G1204" s="320"/>
      <c r="H1204" s="320"/>
      <c r="I1204" s="320"/>
      <c r="J1204" s="320"/>
      <c r="K1204" s="320"/>
      <c r="L1204" s="320"/>
      <c r="M1204" s="320"/>
      <c r="N1204" s="320"/>
      <c r="O1204" s="321"/>
      <c r="P1204" s="321"/>
      <c r="Y1204" s="326"/>
      <c r="Z1204" s="326"/>
      <c r="AA1204" s="326"/>
      <c r="AB1204" s="326"/>
      <c r="AC1204" s="326"/>
      <c r="AD1204" s="326"/>
      <c r="AG1204" s="326"/>
      <c r="AH1204" s="326"/>
      <c r="AI1204" s="326"/>
      <c r="AL1204" s="326"/>
      <c r="AM1204" s="326"/>
      <c r="AN1204" s="326"/>
    </row>
    <row r="1205" spans="1:40" x14ac:dyDescent="0.15">
      <c r="A1205" s="327"/>
      <c r="B1205" s="320"/>
      <c r="C1205" s="320"/>
      <c r="D1205" s="320"/>
      <c r="E1205" s="320"/>
      <c r="F1205" s="320"/>
      <c r="G1205" s="320"/>
      <c r="H1205" s="320"/>
      <c r="I1205" s="320"/>
      <c r="J1205" s="320"/>
      <c r="K1205" s="320"/>
      <c r="L1205" s="320"/>
      <c r="M1205" s="320"/>
      <c r="N1205" s="320"/>
      <c r="O1205" s="321"/>
      <c r="P1205" s="321"/>
      <c r="Y1205" s="326"/>
      <c r="Z1205" s="326"/>
      <c r="AA1205" s="326"/>
      <c r="AB1205" s="326"/>
      <c r="AC1205" s="326"/>
      <c r="AD1205" s="326"/>
      <c r="AG1205" s="326"/>
      <c r="AH1205" s="326"/>
      <c r="AI1205" s="326"/>
      <c r="AL1205" s="326"/>
      <c r="AM1205" s="326"/>
      <c r="AN1205" s="326"/>
    </row>
    <row r="1206" spans="1:40" x14ac:dyDescent="0.15">
      <c r="A1206" s="327"/>
      <c r="B1206" s="320"/>
      <c r="C1206" s="320"/>
      <c r="D1206" s="320"/>
      <c r="E1206" s="320"/>
      <c r="F1206" s="320"/>
      <c r="G1206" s="320"/>
      <c r="H1206" s="320"/>
      <c r="I1206" s="320"/>
      <c r="J1206" s="320"/>
      <c r="K1206" s="320"/>
      <c r="L1206" s="320"/>
      <c r="M1206" s="320"/>
      <c r="N1206" s="320"/>
      <c r="O1206" s="321"/>
      <c r="P1206" s="321"/>
      <c r="Y1206" s="326"/>
      <c r="Z1206" s="326"/>
      <c r="AA1206" s="326"/>
      <c r="AB1206" s="326"/>
      <c r="AC1206" s="326"/>
      <c r="AD1206" s="326"/>
      <c r="AG1206" s="326"/>
      <c r="AH1206" s="326"/>
      <c r="AI1206" s="326"/>
      <c r="AL1206" s="326"/>
      <c r="AM1206" s="326"/>
      <c r="AN1206" s="326"/>
    </row>
    <row r="1207" spans="1:40" x14ac:dyDescent="0.15">
      <c r="A1207" s="327"/>
      <c r="B1207" s="320"/>
      <c r="C1207" s="320"/>
      <c r="D1207" s="320"/>
      <c r="E1207" s="320"/>
      <c r="F1207" s="320"/>
      <c r="G1207" s="320"/>
      <c r="H1207" s="320"/>
      <c r="I1207" s="320"/>
      <c r="J1207" s="320"/>
      <c r="K1207" s="320"/>
      <c r="L1207" s="320"/>
      <c r="M1207" s="320"/>
      <c r="N1207" s="320"/>
      <c r="O1207" s="321"/>
      <c r="P1207" s="321"/>
      <c r="Y1207" s="326"/>
      <c r="Z1207" s="326"/>
      <c r="AA1207" s="326"/>
      <c r="AB1207" s="326"/>
      <c r="AC1207" s="326"/>
      <c r="AD1207" s="326"/>
      <c r="AG1207" s="326"/>
      <c r="AH1207" s="326"/>
      <c r="AI1207" s="326"/>
      <c r="AL1207" s="326"/>
      <c r="AM1207" s="326"/>
      <c r="AN1207" s="326"/>
    </row>
    <row r="1208" spans="1:40" x14ac:dyDescent="0.15">
      <c r="A1208" s="327"/>
      <c r="B1208" s="320"/>
      <c r="C1208" s="320"/>
      <c r="D1208" s="320"/>
      <c r="E1208" s="320"/>
      <c r="F1208" s="320"/>
      <c r="G1208" s="320"/>
      <c r="H1208" s="320"/>
      <c r="I1208" s="320"/>
      <c r="J1208" s="320"/>
      <c r="K1208" s="320"/>
      <c r="L1208" s="320"/>
      <c r="M1208" s="320"/>
      <c r="N1208" s="320"/>
      <c r="O1208" s="321"/>
      <c r="P1208" s="321"/>
      <c r="Y1208" s="326"/>
      <c r="Z1208" s="326"/>
      <c r="AA1208" s="326"/>
      <c r="AB1208" s="326"/>
      <c r="AC1208" s="326"/>
      <c r="AD1208" s="326"/>
      <c r="AG1208" s="326"/>
      <c r="AH1208" s="326"/>
      <c r="AI1208" s="326"/>
      <c r="AL1208" s="326"/>
      <c r="AM1208" s="326"/>
      <c r="AN1208" s="326"/>
    </row>
    <row r="1209" spans="1:40" x14ac:dyDescent="0.15">
      <c r="A1209" s="327"/>
      <c r="B1209" s="320"/>
      <c r="C1209" s="320"/>
      <c r="D1209" s="320"/>
      <c r="E1209" s="320"/>
      <c r="F1209" s="320"/>
      <c r="G1209" s="320"/>
      <c r="H1209" s="320"/>
      <c r="I1209" s="320"/>
      <c r="J1209" s="320"/>
      <c r="K1209" s="320"/>
      <c r="L1209" s="320"/>
      <c r="M1209" s="320"/>
      <c r="N1209" s="320"/>
      <c r="O1209" s="321"/>
      <c r="P1209" s="321"/>
      <c r="Y1209" s="326"/>
      <c r="Z1209" s="326"/>
      <c r="AA1209" s="326"/>
      <c r="AB1209" s="326"/>
      <c r="AC1209" s="326"/>
      <c r="AD1209" s="326"/>
      <c r="AG1209" s="326"/>
      <c r="AH1209" s="326"/>
      <c r="AI1209" s="326"/>
      <c r="AL1209" s="326"/>
      <c r="AM1209" s="326"/>
      <c r="AN1209" s="326"/>
    </row>
    <row r="1210" spans="1:40" x14ac:dyDescent="0.15">
      <c r="A1210" s="327"/>
      <c r="B1210" s="320"/>
      <c r="C1210" s="320"/>
      <c r="D1210" s="320"/>
      <c r="E1210" s="320"/>
      <c r="F1210" s="320"/>
      <c r="G1210" s="320"/>
      <c r="H1210" s="320"/>
      <c r="I1210" s="320"/>
      <c r="J1210" s="320"/>
      <c r="K1210" s="320"/>
      <c r="L1210" s="320"/>
      <c r="M1210" s="320"/>
      <c r="N1210" s="320"/>
      <c r="O1210" s="321"/>
      <c r="P1210" s="321"/>
      <c r="Y1210" s="326"/>
      <c r="Z1210" s="326"/>
      <c r="AA1210" s="326"/>
      <c r="AB1210" s="326"/>
      <c r="AC1210" s="326"/>
      <c r="AD1210" s="326"/>
      <c r="AG1210" s="326"/>
      <c r="AH1210" s="326"/>
      <c r="AI1210" s="326"/>
      <c r="AL1210" s="326"/>
      <c r="AM1210" s="326"/>
      <c r="AN1210" s="326"/>
    </row>
    <row r="1211" spans="1:40" x14ac:dyDescent="0.15">
      <c r="A1211" s="327"/>
      <c r="B1211" s="320"/>
      <c r="C1211" s="320"/>
      <c r="D1211" s="320"/>
      <c r="E1211" s="320"/>
      <c r="F1211" s="320"/>
      <c r="G1211" s="320"/>
      <c r="H1211" s="320"/>
      <c r="I1211" s="320"/>
      <c r="J1211" s="320"/>
      <c r="K1211" s="320"/>
      <c r="L1211" s="320"/>
      <c r="M1211" s="320"/>
      <c r="N1211" s="320"/>
      <c r="O1211" s="321"/>
      <c r="P1211" s="321"/>
      <c r="Y1211" s="326"/>
      <c r="Z1211" s="326"/>
      <c r="AA1211" s="326"/>
      <c r="AB1211" s="326"/>
      <c r="AC1211" s="326"/>
      <c r="AD1211" s="326"/>
      <c r="AG1211" s="326"/>
      <c r="AH1211" s="326"/>
      <c r="AI1211" s="326"/>
      <c r="AL1211" s="326"/>
      <c r="AM1211" s="326"/>
      <c r="AN1211" s="326"/>
    </row>
    <row r="1212" spans="1:40" x14ac:dyDescent="0.15">
      <c r="A1212" s="327"/>
      <c r="B1212" s="320"/>
      <c r="C1212" s="320"/>
      <c r="D1212" s="320"/>
      <c r="E1212" s="320"/>
      <c r="F1212" s="320"/>
      <c r="G1212" s="320"/>
      <c r="H1212" s="320"/>
      <c r="I1212" s="320"/>
      <c r="J1212" s="320"/>
      <c r="K1212" s="320"/>
      <c r="L1212" s="320"/>
      <c r="M1212" s="320"/>
      <c r="N1212" s="320"/>
      <c r="O1212" s="321"/>
      <c r="P1212" s="321"/>
      <c r="Y1212" s="326"/>
      <c r="Z1212" s="326"/>
      <c r="AA1212" s="326"/>
      <c r="AB1212" s="326"/>
      <c r="AC1212" s="326"/>
      <c r="AD1212" s="326"/>
      <c r="AG1212" s="326"/>
      <c r="AH1212" s="326"/>
      <c r="AI1212" s="326"/>
      <c r="AL1212" s="326"/>
      <c r="AM1212" s="326"/>
      <c r="AN1212" s="326"/>
    </row>
    <row r="1213" spans="1:40" x14ac:dyDescent="0.15">
      <c r="A1213" s="327"/>
      <c r="B1213" s="320"/>
      <c r="C1213" s="320"/>
      <c r="D1213" s="320"/>
      <c r="E1213" s="320"/>
      <c r="F1213" s="320"/>
      <c r="G1213" s="320"/>
      <c r="H1213" s="320"/>
      <c r="I1213" s="320"/>
      <c r="J1213" s="320"/>
      <c r="K1213" s="320"/>
      <c r="L1213" s="320"/>
      <c r="M1213" s="320"/>
      <c r="N1213" s="320"/>
      <c r="O1213" s="321"/>
      <c r="P1213" s="321"/>
      <c r="Y1213" s="326"/>
      <c r="Z1213" s="326"/>
      <c r="AA1213" s="326"/>
      <c r="AB1213" s="326"/>
      <c r="AC1213" s="326"/>
      <c r="AD1213" s="326"/>
      <c r="AG1213" s="326"/>
      <c r="AH1213" s="326"/>
      <c r="AI1213" s="326"/>
      <c r="AL1213" s="326"/>
      <c r="AM1213" s="326"/>
      <c r="AN1213" s="326"/>
    </row>
    <row r="1214" spans="1:40" x14ac:dyDescent="0.15">
      <c r="A1214" s="327"/>
      <c r="B1214" s="320"/>
      <c r="C1214" s="320"/>
      <c r="D1214" s="320"/>
      <c r="E1214" s="320"/>
      <c r="F1214" s="320"/>
      <c r="G1214" s="320"/>
      <c r="H1214" s="320"/>
      <c r="I1214" s="320"/>
      <c r="J1214" s="320"/>
      <c r="K1214" s="320"/>
      <c r="L1214" s="320"/>
      <c r="M1214" s="320"/>
      <c r="N1214" s="320"/>
      <c r="O1214" s="321"/>
      <c r="P1214" s="321"/>
      <c r="Y1214" s="326"/>
      <c r="Z1214" s="326"/>
      <c r="AA1214" s="326"/>
      <c r="AB1214" s="326"/>
      <c r="AC1214" s="326"/>
      <c r="AD1214" s="326"/>
      <c r="AG1214" s="326"/>
      <c r="AH1214" s="326"/>
      <c r="AI1214" s="326"/>
      <c r="AL1214" s="326"/>
      <c r="AM1214" s="326"/>
      <c r="AN1214" s="326"/>
    </row>
    <row r="1215" spans="1:40" x14ac:dyDescent="0.15">
      <c r="A1215" s="327"/>
      <c r="B1215" s="320"/>
      <c r="C1215" s="320"/>
      <c r="D1215" s="320"/>
      <c r="E1215" s="320"/>
      <c r="F1215" s="320"/>
      <c r="G1215" s="320"/>
      <c r="H1215" s="320"/>
      <c r="I1215" s="320"/>
      <c r="J1215" s="320"/>
      <c r="K1215" s="320"/>
      <c r="L1215" s="320"/>
      <c r="M1215" s="320"/>
      <c r="N1215" s="320"/>
      <c r="O1215" s="321"/>
      <c r="P1215" s="321"/>
      <c r="Y1215" s="326"/>
      <c r="Z1215" s="326"/>
      <c r="AA1215" s="326"/>
      <c r="AB1215" s="326"/>
      <c r="AC1215" s="326"/>
      <c r="AD1215" s="326"/>
      <c r="AG1215" s="326"/>
      <c r="AH1215" s="326"/>
      <c r="AI1215" s="326"/>
      <c r="AL1215" s="326"/>
      <c r="AM1215" s="326"/>
      <c r="AN1215" s="326"/>
    </row>
    <row r="1216" spans="1:40" x14ac:dyDescent="0.15">
      <c r="A1216" s="327"/>
      <c r="B1216" s="320"/>
      <c r="C1216" s="320"/>
      <c r="D1216" s="320"/>
      <c r="E1216" s="320"/>
      <c r="F1216" s="320"/>
      <c r="G1216" s="320"/>
      <c r="H1216" s="320"/>
      <c r="I1216" s="320"/>
      <c r="J1216" s="320"/>
      <c r="K1216" s="320"/>
      <c r="L1216" s="320"/>
      <c r="M1216" s="320"/>
      <c r="N1216" s="320"/>
      <c r="O1216" s="321"/>
      <c r="P1216" s="321"/>
      <c r="Y1216" s="326"/>
      <c r="Z1216" s="326"/>
      <c r="AA1216" s="326"/>
      <c r="AB1216" s="326"/>
      <c r="AC1216" s="326"/>
      <c r="AD1216" s="326"/>
      <c r="AG1216" s="326"/>
      <c r="AH1216" s="326"/>
      <c r="AI1216" s="326"/>
      <c r="AL1216" s="326"/>
      <c r="AM1216" s="326"/>
      <c r="AN1216" s="326"/>
    </row>
    <row r="1217" spans="1:40" x14ac:dyDescent="0.15">
      <c r="A1217" s="327"/>
      <c r="B1217" s="320"/>
      <c r="C1217" s="320"/>
      <c r="D1217" s="320"/>
      <c r="E1217" s="320"/>
      <c r="F1217" s="320"/>
      <c r="G1217" s="320"/>
      <c r="H1217" s="320"/>
      <c r="I1217" s="320"/>
      <c r="J1217" s="320"/>
      <c r="K1217" s="320"/>
      <c r="L1217" s="320"/>
      <c r="M1217" s="320"/>
      <c r="N1217" s="320"/>
      <c r="O1217" s="321"/>
      <c r="P1217" s="321"/>
      <c r="Y1217" s="326"/>
      <c r="Z1217" s="326"/>
      <c r="AA1217" s="326"/>
      <c r="AB1217" s="326"/>
      <c r="AC1217" s="326"/>
      <c r="AD1217" s="326"/>
      <c r="AG1217" s="326"/>
      <c r="AH1217" s="326"/>
      <c r="AI1217" s="326"/>
      <c r="AL1217" s="326"/>
      <c r="AM1217" s="326"/>
      <c r="AN1217" s="326"/>
    </row>
    <row r="1218" spans="1:40" x14ac:dyDescent="0.15">
      <c r="A1218" s="327"/>
      <c r="B1218" s="320"/>
      <c r="C1218" s="320"/>
      <c r="D1218" s="320"/>
      <c r="E1218" s="320"/>
      <c r="F1218" s="320"/>
      <c r="G1218" s="320"/>
      <c r="H1218" s="320"/>
      <c r="I1218" s="320"/>
      <c r="J1218" s="320"/>
      <c r="K1218" s="320"/>
      <c r="L1218" s="320"/>
      <c r="M1218" s="320"/>
      <c r="N1218" s="320"/>
      <c r="O1218" s="321"/>
      <c r="P1218" s="321"/>
      <c r="Y1218" s="326"/>
      <c r="Z1218" s="326"/>
      <c r="AA1218" s="326"/>
      <c r="AB1218" s="326"/>
      <c r="AC1218" s="326"/>
      <c r="AD1218" s="326"/>
      <c r="AG1218" s="326"/>
      <c r="AH1218" s="326"/>
      <c r="AI1218" s="326"/>
      <c r="AL1218" s="326"/>
      <c r="AM1218" s="326"/>
      <c r="AN1218" s="326"/>
    </row>
    <row r="1219" spans="1:40" x14ac:dyDescent="0.15">
      <c r="A1219" s="327"/>
      <c r="B1219" s="320"/>
      <c r="C1219" s="320"/>
      <c r="D1219" s="320"/>
      <c r="E1219" s="320"/>
      <c r="F1219" s="320"/>
      <c r="G1219" s="320"/>
      <c r="H1219" s="320"/>
      <c r="I1219" s="320"/>
      <c r="J1219" s="320"/>
      <c r="K1219" s="320"/>
      <c r="L1219" s="320"/>
      <c r="M1219" s="320"/>
      <c r="N1219" s="320"/>
      <c r="O1219" s="321"/>
      <c r="P1219" s="321"/>
      <c r="Y1219" s="326"/>
      <c r="Z1219" s="326"/>
      <c r="AA1219" s="326"/>
      <c r="AB1219" s="326"/>
      <c r="AC1219" s="326"/>
      <c r="AD1219" s="326"/>
      <c r="AG1219" s="326"/>
      <c r="AH1219" s="326"/>
      <c r="AI1219" s="326"/>
      <c r="AL1219" s="326"/>
      <c r="AM1219" s="326"/>
      <c r="AN1219" s="326"/>
    </row>
    <row r="1220" spans="1:40" x14ac:dyDescent="0.15">
      <c r="A1220" s="327"/>
      <c r="B1220" s="320"/>
      <c r="C1220" s="320"/>
      <c r="D1220" s="320"/>
      <c r="E1220" s="320"/>
      <c r="F1220" s="320"/>
      <c r="G1220" s="320"/>
      <c r="H1220" s="320"/>
      <c r="I1220" s="320"/>
      <c r="J1220" s="320"/>
      <c r="K1220" s="320"/>
      <c r="L1220" s="320"/>
      <c r="M1220" s="320"/>
      <c r="N1220" s="320"/>
      <c r="O1220" s="321"/>
      <c r="P1220" s="321"/>
      <c r="Y1220" s="326"/>
      <c r="Z1220" s="326"/>
      <c r="AA1220" s="326"/>
      <c r="AB1220" s="326"/>
      <c r="AC1220" s="326"/>
      <c r="AD1220" s="326"/>
      <c r="AG1220" s="326"/>
      <c r="AH1220" s="326"/>
      <c r="AI1220" s="326"/>
      <c r="AL1220" s="326"/>
      <c r="AM1220" s="326"/>
      <c r="AN1220" s="326"/>
    </row>
    <row r="1221" spans="1:40" x14ac:dyDescent="0.15">
      <c r="A1221" s="327"/>
      <c r="B1221" s="320"/>
      <c r="C1221" s="320"/>
      <c r="D1221" s="320"/>
      <c r="E1221" s="320"/>
      <c r="F1221" s="320"/>
      <c r="G1221" s="320"/>
      <c r="H1221" s="320"/>
      <c r="I1221" s="320"/>
      <c r="J1221" s="320"/>
      <c r="K1221" s="320"/>
      <c r="L1221" s="320"/>
      <c r="M1221" s="320"/>
      <c r="N1221" s="320"/>
      <c r="O1221" s="321"/>
      <c r="P1221" s="321"/>
      <c r="Y1221" s="326"/>
      <c r="Z1221" s="326"/>
      <c r="AA1221" s="326"/>
      <c r="AB1221" s="326"/>
      <c r="AC1221" s="326"/>
      <c r="AD1221" s="326"/>
      <c r="AG1221" s="326"/>
      <c r="AH1221" s="326"/>
      <c r="AI1221" s="326"/>
      <c r="AL1221" s="326"/>
      <c r="AM1221" s="326"/>
      <c r="AN1221" s="326"/>
    </row>
    <row r="1222" spans="1:40" x14ac:dyDescent="0.15">
      <c r="A1222" s="327"/>
      <c r="B1222" s="320"/>
      <c r="C1222" s="320"/>
      <c r="D1222" s="320"/>
      <c r="E1222" s="320"/>
      <c r="F1222" s="320"/>
      <c r="G1222" s="320"/>
      <c r="H1222" s="320"/>
      <c r="I1222" s="320"/>
      <c r="J1222" s="320"/>
      <c r="K1222" s="320"/>
      <c r="L1222" s="320"/>
      <c r="M1222" s="320"/>
      <c r="N1222" s="320"/>
      <c r="O1222" s="321"/>
      <c r="P1222" s="321"/>
      <c r="Y1222" s="326"/>
      <c r="Z1222" s="326"/>
      <c r="AA1222" s="326"/>
      <c r="AB1222" s="326"/>
      <c r="AC1222" s="326"/>
      <c r="AD1222" s="326"/>
      <c r="AG1222" s="326"/>
      <c r="AH1222" s="326"/>
      <c r="AI1222" s="326"/>
      <c r="AL1222" s="326"/>
      <c r="AM1222" s="326"/>
      <c r="AN1222" s="326"/>
    </row>
    <row r="1223" spans="1:40" x14ac:dyDescent="0.15">
      <c r="A1223" s="327"/>
      <c r="B1223" s="320"/>
      <c r="C1223" s="320"/>
      <c r="D1223" s="320"/>
      <c r="E1223" s="320"/>
      <c r="F1223" s="320"/>
      <c r="G1223" s="320"/>
      <c r="H1223" s="320"/>
      <c r="I1223" s="320"/>
      <c r="J1223" s="320"/>
      <c r="K1223" s="320"/>
      <c r="L1223" s="320"/>
      <c r="M1223" s="320"/>
      <c r="N1223" s="320"/>
      <c r="O1223" s="321"/>
      <c r="P1223" s="321"/>
      <c r="Y1223" s="326"/>
      <c r="Z1223" s="326"/>
      <c r="AA1223" s="326"/>
      <c r="AB1223" s="326"/>
      <c r="AC1223" s="326"/>
      <c r="AD1223" s="326"/>
      <c r="AG1223" s="326"/>
      <c r="AH1223" s="326"/>
      <c r="AI1223" s="326"/>
      <c r="AL1223" s="326"/>
      <c r="AM1223" s="326"/>
      <c r="AN1223" s="326"/>
    </row>
    <row r="1224" spans="1:40" x14ac:dyDescent="0.15">
      <c r="A1224" s="327"/>
      <c r="B1224" s="320"/>
      <c r="C1224" s="320"/>
      <c r="D1224" s="320"/>
      <c r="E1224" s="320"/>
      <c r="F1224" s="320"/>
      <c r="G1224" s="320"/>
      <c r="H1224" s="320"/>
      <c r="I1224" s="320"/>
      <c r="J1224" s="320"/>
      <c r="K1224" s="320"/>
      <c r="L1224" s="320"/>
      <c r="M1224" s="320"/>
      <c r="N1224" s="320"/>
      <c r="O1224" s="321"/>
      <c r="P1224" s="321"/>
      <c r="Y1224" s="326"/>
      <c r="Z1224" s="326"/>
      <c r="AA1224" s="326"/>
      <c r="AB1224" s="326"/>
      <c r="AC1224" s="326"/>
      <c r="AD1224" s="326"/>
      <c r="AG1224" s="326"/>
      <c r="AH1224" s="326"/>
      <c r="AI1224" s="326"/>
      <c r="AL1224" s="326"/>
      <c r="AM1224" s="326"/>
      <c r="AN1224" s="326"/>
    </row>
    <row r="1225" spans="1:40" x14ac:dyDescent="0.15">
      <c r="A1225" s="327"/>
      <c r="B1225" s="320"/>
      <c r="C1225" s="320"/>
      <c r="D1225" s="320"/>
      <c r="E1225" s="320"/>
      <c r="F1225" s="320"/>
      <c r="G1225" s="320"/>
      <c r="H1225" s="320"/>
      <c r="I1225" s="320"/>
      <c r="J1225" s="320"/>
      <c r="K1225" s="320"/>
      <c r="L1225" s="320"/>
      <c r="M1225" s="320"/>
      <c r="N1225" s="320"/>
      <c r="O1225" s="321"/>
      <c r="P1225" s="321"/>
      <c r="Y1225" s="326"/>
      <c r="Z1225" s="326"/>
      <c r="AA1225" s="326"/>
      <c r="AB1225" s="326"/>
      <c r="AC1225" s="326"/>
      <c r="AD1225" s="326"/>
      <c r="AG1225" s="326"/>
      <c r="AH1225" s="326"/>
      <c r="AI1225" s="326"/>
      <c r="AL1225" s="326"/>
      <c r="AM1225" s="326"/>
      <c r="AN1225" s="326"/>
    </row>
    <row r="1226" spans="1:40" x14ac:dyDescent="0.15">
      <c r="A1226" s="327"/>
      <c r="B1226" s="320"/>
      <c r="C1226" s="320"/>
      <c r="D1226" s="320"/>
      <c r="E1226" s="320"/>
      <c r="F1226" s="320"/>
      <c r="G1226" s="320"/>
      <c r="H1226" s="320"/>
      <c r="I1226" s="320"/>
      <c r="J1226" s="320"/>
      <c r="K1226" s="320"/>
      <c r="L1226" s="320"/>
      <c r="M1226" s="320"/>
      <c r="N1226" s="320"/>
      <c r="O1226" s="321"/>
      <c r="P1226" s="321"/>
      <c r="Y1226" s="326"/>
      <c r="Z1226" s="326"/>
      <c r="AA1226" s="326"/>
      <c r="AB1226" s="326"/>
      <c r="AC1226" s="326"/>
      <c r="AD1226" s="326"/>
      <c r="AG1226" s="326"/>
      <c r="AH1226" s="326"/>
      <c r="AI1226" s="326"/>
      <c r="AL1226" s="326"/>
      <c r="AM1226" s="326"/>
      <c r="AN1226" s="326"/>
    </row>
    <row r="1227" spans="1:40" x14ac:dyDescent="0.15">
      <c r="A1227" s="327"/>
      <c r="B1227" s="320"/>
      <c r="C1227" s="320"/>
      <c r="D1227" s="320"/>
      <c r="E1227" s="320"/>
      <c r="F1227" s="320"/>
      <c r="G1227" s="320"/>
      <c r="H1227" s="320"/>
      <c r="I1227" s="320"/>
      <c r="J1227" s="320"/>
      <c r="K1227" s="320"/>
      <c r="L1227" s="320"/>
      <c r="M1227" s="320"/>
      <c r="N1227" s="320"/>
      <c r="O1227" s="321"/>
      <c r="P1227" s="321"/>
      <c r="Y1227" s="326"/>
      <c r="Z1227" s="326"/>
      <c r="AA1227" s="326"/>
      <c r="AB1227" s="326"/>
      <c r="AC1227" s="326"/>
      <c r="AD1227" s="326"/>
      <c r="AG1227" s="326"/>
      <c r="AH1227" s="326"/>
      <c r="AI1227" s="326"/>
      <c r="AL1227" s="326"/>
      <c r="AM1227" s="326"/>
      <c r="AN1227" s="326"/>
    </row>
    <row r="1228" spans="1:40" x14ac:dyDescent="0.15">
      <c r="A1228" s="327"/>
      <c r="B1228" s="320"/>
      <c r="C1228" s="320"/>
      <c r="D1228" s="320"/>
      <c r="E1228" s="320"/>
      <c r="F1228" s="320"/>
      <c r="G1228" s="320"/>
      <c r="H1228" s="320"/>
      <c r="I1228" s="320"/>
      <c r="J1228" s="320"/>
      <c r="K1228" s="320"/>
      <c r="L1228" s="320"/>
      <c r="M1228" s="320"/>
      <c r="N1228" s="320"/>
      <c r="O1228" s="321"/>
      <c r="P1228" s="321"/>
      <c r="Y1228" s="326"/>
      <c r="Z1228" s="326"/>
      <c r="AA1228" s="326"/>
      <c r="AB1228" s="326"/>
      <c r="AC1228" s="326"/>
      <c r="AD1228" s="326"/>
      <c r="AG1228" s="326"/>
      <c r="AH1228" s="326"/>
      <c r="AI1228" s="326"/>
      <c r="AL1228" s="326"/>
      <c r="AM1228" s="326"/>
      <c r="AN1228" s="326"/>
    </row>
    <row r="1229" spans="1:40" x14ac:dyDescent="0.15">
      <c r="A1229" s="327"/>
      <c r="B1229" s="320"/>
      <c r="C1229" s="320"/>
      <c r="D1229" s="320"/>
      <c r="E1229" s="320"/>
      <c r="F1229" s="320"/>
      <c r="G1229" s="320"/>
      <c r="H1229" s="320"/>
      <c r="I1229" s="320"/>
      <c r="J1229" s="320"/>
      <c r="K1229" s="320"/>
      <c r="L1229" s="320"/>
      <c r="M1229" s="320"/>
      <c r="N1229" s="320"/>
      <c r="O1229" s="321"/>
      <c r="P1229" s="321"/>
      <c r="Y1229" s="326"/>
      <c r="Z1229" s="326"/>
      <c r="AA1229" s="326"/>
      <c r="AB1229" s="326"/>
      <c r="AC1229" s="326"/>
      <c r="AD1229" s="326"/>
      <c r="AG1229" s="326"/>
      <c r="AH1229" s="326"/>
      <c r="AI1229" s="326"/>
      <c r="AL1229" s="326"/>
      <c r="AM1229" s="326"/>
      <c r="AN1229" s="326"/>
    </row>
    <row r="1230" spans="1:40" x14ac:dyDescent="0.15">
      <c r="A1230" s="327"/>
      <c r="B1230" s="320"/>
      <c r="C1230" s="320"/>
      <c r="D1230" s="320"/>
      <c r="E1230" s="320"/>
      <c r="F1230" s="320"/>
      <c r="G1230" s="320"/>
      <c r="H1230" s="320"/>
      <c r="I1230" s="320"/>
      <c r="J1230" s="320"/>
      <c r="K1230" s="320"/>
      <c r="L1230" s="320"/>
      <c r="M1230" s="320"/>
      <c r="N1230" s="320"/>
      <c r="O1230" s="321"/>
      <c r="P1230" s="321"/>
      <c r="Y1230" s="326"/>
      <c r="Z1230" s="326"/>
      <c r="AA1230" s="326"/>
      <c r="AB1230" s="326"/>
      <c r="AC1230" s="326"/>
      <c r="AD1230" s="326"/>
      <c r="AG1230" s="326"/>
      <c r="AH1230" s="326"/>
      <c r="AI1230" s="326"/>
      <c r="AL1230" s="326"/>
      <c r="AM1230" s="326"/>
      <c r="AN1230" s="326"/>
    </row>
    <row r="1231" spans="1:40" x14ac:dyDescent="0.15">
      <c r="A1231" s="327"/>
      <c r="B1231" s="320"/>
      <c r="C1231" s="320"/>
      <c r="D1231" s="320"/>
      <c r="E1231" s="320"/>
      <c r="F1231" s="320"/>
      <c r="G1231" s="320"/>
      <c r="H1231" s="320"/>
      <c r="I1231" s="320"/>
      <c r="J1231" s="320"/>
      <c r="K1231" s="320"/>
      <c r="L1231" s="320"/>
      <c r="M1231" s="320"/>
      <c r="N1231" s="320"/>
      <c r="O1231" s="321"/>
      <c r="P1231" s="321"/>
      <c r="Y1231" s="326"/>
      <c r="Z1231" s="326"/>
      <c r="AA1231" s="326"/>
      <c r="AB1231" s="326"/>
      <c r="AC1231" s="326"/>
      <c r="AD1231" s="326"/>
      <c r="AG1231" s="326"/>
      <c r="AH1231" s="326"/>
      <c r="AI1231" s="326"/>
      <c r="AL1231" s="326"/>
      <c r="AM1231" s="326"/>
      <c r="AN1231" s="326"/>
    </row>
    <row r="1232" spans="1:40" x14ac:dyDescent="0.15">
      <c r="A1232" s="327"/>
      <c r="B1232" s="320"/>
      <c r="C1232" s="320"/>
      <c r="D1232" s="320"/>
      <c r="E1232" s="320"/>
      <c r="F1232" s="320"/>
      <c r="G1232" s="320"/>
      <c r="H1232" s="320"/>
      <c r="I1232" s="320"/>
      <c r="J1232" s="320"/>
      <c r="K1232" s="320"/>
      <c r="L1232" s="320"/>
      <c r="M1232" s="320"/>
      <c r="N1232" s="320"/>
      <c r="O1232" s="321"/>
      <c r="P1232" s="321"/>
      <c r="Y1232" s="326"/>
      <c r="Z1232" s="326"/>
      <c r="AA1232" s="326"/>
      <c r="AB1232" s="326"/>
      <c r="AC1232" s="326"/>
      <c r="AD1232" s="326"/>
      <c r="AG1232" s="326"/>
      <c r="AH1232" s="326"/>
      <c r="AI1232" s="326"/>
      <c r="AL1232" s="326"/>
      <c r="AM1232" s="326"/>
      <c r="AN1232" s="326"/>
    </row>
    <row r="1233" spans="1:40" x14ac:dyDescent="0.15">
      <c r="A1233" s="327"/>
      <c r="B1233" s="320"/>
      <c r="C1233" s="320"/>
      <c r="D1233" s="320"/>
      <c r="E1233" s="320"/>
      <c r="F1233" s="320"/>
      <c r="G1233" s="320"/>
      <c r="H1233" s="320"/>
      <c r="I1233" s="320"/>
      <c r="J1233" s="320"/>
      <c r="K1233" s="320"/>
      <c r="L1233" s="320"/>
      <c r="M1233" s="320"/>
      <c r="N1233" s="320"/>
      <c r="O1233" s="321"/>
      <c r="P1233" s="321"/>
      <c r="Y1233" s="326"/>
      <c r="Z1233" s="326"/>
      <c r="AA1233" s="326"/>
      <c r="AB1233" s="326"/>
      <c r="AC1233" s="326"/>
      <c r="AD1233" s="326"/>
      <c r="AG1233" s="326"/>
      <c r="AH1233" s="326"/>
      <c r="AI1233" s="326"/>
      <c r="AL1233" s="326"/>
      <c r="AM1233" s="326"/>
      <c r="AN1233" s="326"/>
    </row>
    <row r="1234" spans="1:40" x14ac:dyDescent="0.15">
      <c r="A1234" s="327"/>
      <c r="B1234" s="320"/>
      <c r="C1234" s="320"/>
      <c r="D1234" s="320"/>
      <c r="E1234" s="320"/>
      <c r="F1234" s="320"/>
      <c r="G1234" s="320"/>
      <c r="H1234" s="320"/>
      <c r="I1234" s="320"/>
      <c r="J1234" s="320"/>
      <c r="K1234" s="320"/>
      <c r="L1234" s="320"/>
      <c r="M1234" s="320"/>
      <c r="N1234" s="320"/>
      <c r="O1234" s="321"/>
      <c r="P1234" s="321"/>
      <c r="Y1234" s="326"/>
      <c r="Z1234" s="326"/>
      <c r="AA1234" s="326"/>
      <c r="AB1234" s="326"/>
      <c r="AC1234" s="326"/>
      <c r="AD1234" s="326"/>
      <c r="AG1234" s="326"/>
      <c r="AH1234" s="326"/>
      <c r="AI1234" s="326"/>
      <c r="AL1234" s="326"/>
      <c r="AM1234" s="326"/>
      <c r="AN1234" s="326"/>
    </row>
    <row r="1235" spans="1:40" x14ac:dyDescent="0.15">
      <c r="A1235" s="327"/>
      <c r="B1235" s="320"/>
      <c r="C1235" s="320"/>
      <c r="D1235" s="320"/>
      <c r="E1235" s="320"/>
      <c r="F1235" s="320"/>
      <c r="G1235" s="320"/>
      <c r="H1235" s="320"/>
      <c r="I1235" s="320"/>
      <c r="J1235" s="320"/>
      <c r="K1235" s="320"/>
      <c r="L1235" s="320"/>
      <c r="M1235" s="320"/>
      <c r="N1235" s="320"/>
      <c r="O1235" s="321"/>
      <c r="P1235" s="321"/>
      <c r="Y1235" s="326"/>
      <c r="Z1235" s="326"/>
      <c r="AA1235" s="326"/>
      <c r="AB1235" s="326"/>
      <c r="AC1235" s="326"/>
      <c r="AD1235" s="326"/>
      <c r="AG1235" s="326"/>
      <c r="AH1235" s="326"/>
      <c r="AI1235" s="326"/>
      <c r="AL1235" s="326"/>
      <c r="AM1235" s="326"/>
      <c r="AN1235" s="326"/>
    </row>
    <row r="1236" spans="1:40" x14ac:dyDescent="0.15">
      <c r="A1236" s="327"/>
      <c r="B1236" s="320"/>
      <c r="C1236" s="320"/>
      <c r="D1236" s="320"/>
      <c r="E1236" s="320"/>
      <c r="F1236" s="320"/>
      <c r="G1236" s="320"/>
      <c r="H1236" s="320"/>
      <c r="I1236" s="320"/>
      <c r="J1236" s="320"/>
      <c r="K1236" s="320"/>
      <c r="L1236" s="320"/>
      <c r="M1236" s="320"/>
      <c r="N1236" s="320"/>
      <c r="O1236" s="321"/>
      <c r="P1236" s="321"/>
      <c r="Y1236" s="326"/>
      <c r="Z1236" s="326"/>
      <c r="AA1236" s="326"/>
      <c r="AB1236" s="326"/>
      <c r="AC1236" s="326"/>
      <c r="AD1236" s="326"/>
      <c r="AG1236" s="326"/>
      <c r="AH1236" s="326"/>
      <c r="AI1236" s="326"/>
      <c r="AL1236" s="326"/>
      <c r="AM1236" s="326"/>
      <c r="AN1236" s="326"/>
    </row>
    <row r="1237" spans="1:40" x14ac:dyDescent="0.15">
      <c r="A1237" s="327"/>
      <c r="B1237" s="320"/>
      <c r="C1237" s="320"/>
      <c r="D1237" s="320"/>
      <c r="E1237" s="320"/>
      <c r="F1237" s="320"/>
      <c r="G1237" s="320"/>
      <c r="H1237" s="320"/>
      <c r="I1237" s="320"/>
      <c r="J1237" s="320"/>
      <c r="K1237" s="320"/>
      <c r="L1237" s="320"/>
      <c r="M1237" s="320"/>
      <c r="N1237" s="320"/>
      <c r="O1237" s="321"/>
      <c r="P1237" s="321"/>
      <c r="Y1237" s="326"/>
      <c r="Z1237" s="326"/>
      <c r="AA1237" s="326"/>
      <c r="AB1237" s="326"/>
      <c r="AC1237" s="326"/>
      <c r="AD1237" s="326"/>
      <c r="AG1237" s="326"/>
      <c r="AH1237" s="326"/>
      <c r="AI1237" s="326"/>
      <c r="AL1237" s="326"/>
      <c r="AM1237" s="326"/>
      <c r="AN1237" s="326"/>
    </row>
    <row r="1238" spans="1:40" x14ac:dyDescent="0.15">
      <c r="A1238" s="327"/>
      <c r="B1238" s="320"/>
      <c r="C1238" s="320"/>
      <c r="D1238" s="320"/>
      <c r="E1238" s="320"/>
      <c r="F1238" s="320"/>
      <c r="G1238" s="320"/>
      <c r="H1238" s="320"/>
      <c r="I1238" s="320"/>
      <c r="J1238" s="320"/>
      <c r="K1238" s="320"/>
      <c r="L1238" s="320"/>
      <c r="M1238" s="320"/>
      <c r="N1238" s="320"/>
      <c r="O1238" s="321"/>
      <c r="P1238" s="321"/>
      <c r="Y1238" s="326"/>
      <c r="Z1238" s="326"/>
      <c r="AA1238" s="326"/>
      <c r="AB1238" s="326"/>
      <c r="AC1238" s="326"/>
      <c r="AD1238" s="326"/>
      <c r="AG1238" s="326"/>
      <c r="AH1238" s="326"/>
      <c r="AI1238" s="326"/>
      <c r="AL1238" s="326"/>
      <c r="AM1238" s="326"/>
      <c r="AN1238" s="326"/>
    </row>
    <row r="1239" spans="1:40" x14ac:dyDescent="0.15">
      <c r="A1239" s="327"/>
      <c r="B1239" s="320"/>
      <c r="C1239" s="320"/>
      <c r="D1239" s="320"/>
      <c r="E1239" s="320"/>
      <c r="F1239" s="320"/>
      <c r="G1239" s="320"/>
      <c r="H1239" s="320"/>
      <c r="I1239" s="320"/>
      <c r="J1239" s="320"/>
      <c r="K1239" s="320"/>
      <c r="L1239" s="320"/>
      <c r="M1239" s="320"/>
      <c r="N1239" s="320"/>
      <c r="O1239" s="321"/>
      <c r="P1239" s="321"/>
      <c r="Y1239" s="326"/>
      <c r="Z1239" s="326"/>
      <c r="AA1239" s="326"/>
      <c r="AB1239" s="326"/>
      <c r="AC1239" s="326"/>
      <c r="AD1239" s="326"/>
      <c r="AG1239" s="326"/>
      <c r="AH1239" s="326"/>
      <c r="AI1239" s="326"/>
      <c r="AL1239" s="326"/>
      <c r="AM1239" s="326"/>
      <c r="AN1239" s="326"/>
    </row>
    <row r="1240" spans="1:40" x14ac:dyDescent="0.15">
      <c r="A1240" s="327"/>
      <c r="B1240" s="320"/>
      <c r="C1240" s="320"/>
      <c r="D1240" s="320"/>
      <c r="E1240" s="320"/>
      <c r="F1240" s="320"/>
      <c r="G1240" s="320"/>
      <c r="H1240" s="320"/>
      <c r="I1240" s="320"/>
      <c r="J1240" s="320"/>
      <c r="K1240" s="320"/>
      <c r="L1240" s="320"/>
      <c r="M1240" s="320"/>
      <c r="N1240" s="320"/>
      <c r="O1240" s="321"/>
      <c r="P1240" s="321"/>
      <c r="Y1240" s="326"/>
      <c r="Z1240" s="326"/>
      <c r="AA1240" s="326"/>
      <c r="AB1240" s="326"/>
      <c r="AC1240" s="326"/>
      <c r="AD1240" s="326"/>
      <c r="AG1240" s="326"/>
      <c r="AH1240" s="326"/>
      <c r="AI1240" s="326"/>
      <c r="AL1240" s="326"/>
      <c r="AM1240" s="326"/>
      <c r="AN1240" s="326"/>
    </row>
    <row r="1241" spans="1:40" x14ac:dyDescent="0.15">
      <c r="A1241" s="327"/>
      <c r="B1241" s="320"/>
      <c r="C1241" s="320"/>
      <c r="D1241" s="320"/>
      <c r="E1241" s="320"/>
      <c r="F1241" s="320"/>
      <c r="G1241" s="320"/>
      <c r="H1241" s="320"/>
      <c r="I1241" s="320"/>
      <c r="J1241" s="320"/>
      <c r="K1241" s="320"/>
      <c r="L1241" s="320"/>
      <c r="M1241" s="320"/>
      <c r="N1241" s="320"/>
      <c r="O1241" s="321"/>
      <c r="P1241" s="321"/>
      <c r="Y1241" s="326"/>
      <c r="Z1241" s="326"/>
      <c r="AA1241" s="326"/>
      <c r="AB1241" s="326"/>
      <c r="AC1241" s="326"/>
      <c r="AD1241" s="326"/>
      <c r="AG1241" s="326"/>
      <c r="AH1241" s="326"/>
      <c r="AI1241" s="326"/>
      <c r="AL1241" s="326"/>
      <c r="AM1241" s="326"/>
      <c r="AN1241" s="326"/>
    </row>
    <row r="1242" spans="1:40" x14ac:dyDescent="0.15">
      <c r="A1242" s="327"/>
      <c r="B1242" s="320"/>
      <c r="C1242" s="320"/>
      <c r="D1242" s="320"/>
      <c r="E1242" s="320"/>
      <c r="F1242" s="320"/>
      <c r="G1242" s="320"/>
      <c r="H1242" s="320"/>
      <c r="I1242" s="320"/>
      <c r="J1242" s="320"/>
      <c r="K1242" s="320"/>
      <c r="L1242" s="320"/>
      <c r="M1242" s="320"/>
      <c r="N1242" s="320"/>
      <c r="O1242" s="321"/>
      <c r="P1242" s="321"/>
      <c r="Y1242" s="326"/>
      <c r="Z1242" s="326"/>
      <c r="AA1242" s="326"/>
      <c r="AB1242" s="326"/>
      <c r="AC1242" s="326"/>
      <c r="AD1242" s="326"/>
      <c r="AG1242" s="326"/>
      <c r="AH1242" s="326"/>
      <c r="AI1242" s="326"/>
      <c r="AL1242" s="326"/>
      <c r="AM1242" s="326"/>
      <c r="AN1242" s="326"/>
    </row>
    <row r="1243" spans="1:40" x14ac:dyDescent="0.15">
      <c r="A1243" s="327"/>
      <c r="B1243" s="320"/>
      <c r="C1243" s="320"/>
      <c r="D1243" s="320"/>
      <c r="E1243" s="320"/>
      <c r="F1243" s="320"/>
      <c r="G1243" s="320"/>
      <c r="H1243" s="320"/>
      <c r="I1243" s="320"/>
      <c r="J1243" s="320"/>
      <c r="K1243" s="320"/>
      <c r="L1243" s="320"/>
      <c r="M1243" s="320"/>
      <c r="N1243" s="320"/>
      <c r="O1243" s="321"/>
      <c r="P1243" s="321"/>
      <c r="Y1243" s="326"/>
      <c r="Z1243" s="326"/>
      <c r="AA1243" s="326"/>
      <c r="AB1243" s="326"/>
      <c r="AC1243" s="326"/>
      <c r="AD1243" s="326"/>
      <c r="AG1243" s="326"/>
      <c r="AH1243" s="326"/>
      <c r="AI1243" s="326"/>
      <c r="AL1243" s="326"/>
      <c r="AM1243" s="326"/>
      <c r="AN1243" s="326"/>
    </row>
    <row r="1244" spans="1:40" x14ac:dyDescent="0.15">
      <c r="A1244" s="327"/>
      <c r="B1244" s="320"/>
      <c r="C1244" s="320"/>
      <c r="D1244" s="320"/>
      <c r="E1244" s="320"/>
      <c r="F1244" s="320"/>
      <c r="G1244" s="320"/>
      <c r="H1244" s="320"/>
      <c r="I1244" s="320"/>
      <c r="J1244" s="320"/>
      <c r="K1244" s="320"/>
      <c r="L1244" s="320"/>
      <c r="M1244" s="320"/>
      <c r="N1244" s="320"/>
      <c r="O1244" s="321"/>
      <c r="P1244" s="321"/>
      <c r="Y1244" s="326"/>
      <c r="Z1244" s="326"/>
      <c r="AA1244" s="326"/>
      <c r="AB1244" s="326"/>
      <c r="AC1244" s="326"/>
      <c r="AD1244" s="326"/>
      <c r="AG1244" s="326"/>
      <c r="AH1244" s="326"/>
      <c r="AI1244" s="326"/>
      <c r="AL1244" s="326"/>
      <c r="AM1244" s="326"/>
      <c r="AN1244" s="326"/>
    </row>
    <row r="1245" spans="1:40" x14ac:dyDescent="0.15">
      <c r="A1245" s="327"/>
      <c r="B1245" s="320"/>
      <c r="C1245" s="320"/>
      <c r="D1245" s="320"/>
      <c r="E1245" s="320"/>
      <c r="F1245" s="320"/>
      <c r="G1245" s="320"/>
      <c r="H1245" s="320"/>
      <c r="I1245" s="320"/>
      <c r="J1245" s="320"/>
      <c r="K1245" s="320"/>
      <c r="L1245" s="320"/>
      <c r="M1245" s="320"/>
      <c r="N1245" s="320"/>
      <c r="O1245" s="321"/>
      <c r="P1245" s="321"/>
      <c r="Y1245" s="326"/>
      <c r="Z1245" s="326"/>
      <c r="AA1245" s="326"/>
      <c r="AB1245" s="326"/>
      <c r="AC1245" s="326"/>
      <c r="AD1245" s="326"/>
      <c r="AG1245" s="326"/>
      <c r="AH1245" s="326"/>
      <c r="AI1245" s="326"/>
      <c r="AL1245" s="326"/>
      <c r="AM1245" s="326"/>
      <c r="AN1245" s="326"/>
    </row>
    <row r="1246" spans="1:40" x14ac:dyDescent="0.15">
      <c r="A1246" s="327"/>
      <c r="B1246" s="320"/>
      <c r="C1246" s="320"/>
      <c r="D1246" s="320"/>
      <c r="E1246" s="320"/>
      <c r="F1246" s="320"/>
      <c r="G1246" s="320"/>
      <c r="H1246" s="320"/>
      <c r="I1246" s="320"/>
      <c r="J1246" s="320"/>
      <c r="K1246" s="320"/>
      <c r="L1246" s="320"/>
      <c r="M1246" s="320"/>
      <c r="N1246" s="320"/>
      <c r="O1246" s="321"/>
      <c r="P1246" s="321"/>
      <c r="Y1246" s="326"/>
      <c r="Z1246" s="326"/>
      <c r="AA1246" s="326"/>
      <c r="AB1246" s="326"/>
      <c r="AC1246" s="326"/>
      <c r="AD1246" s="326"/>
      <c r="AG1246" s="326"/>
      <c r="AH1246" s="326"/>
      <c r="AI1246" s="326"/>
      <c r="AL1246" s="326"/>
      <c r="AM1246" s="326"/>
      <c r="AN1246" s="326"/>
    </row>
    <row r="1247" spans="1:40" x14ac:dyDescent="0.15">
      <c r="A1247" s="327"/>
      <c r="B1247" s="320"/>
      <c r="C1247" s="320"/>
      <c r="D1247" s="320"/>
      <c r="E1247" s="320"/>
      <c r="F1247" s="320"/>
      <c r="G1247" s="320"/>
      <c r="H1247" s="320"/>
      <c r="I1247" s="320"/>
      <c r="J1247" s="320"/>
      <c r="K1247" s="320"/>
      <c r="L1247" s="320"/>
      <c r="M1247" s="320"/>
      <c r="N1247" s="320"/>
      <c r="O1247" s="321"/>
      <c r="P1247" s="321"/>
      <c r="Y1247" s="326"/>
      <c r="Z1247" s="326"/>
      <c r="AA1247" s="326"/>
      <c r="AB1247" s="326"/>
      <c r="AC1247" s="326"/>
      <c r="AD1247" s="326"/>
      <c r="AG1247" s="326"/>
      <c r="AH1247" s="326"/>
      <c r="AI1247" s="326"/>
      <c r="AL1247" s="326"/>
      <c r="AM1247" s="326"/>
      <c r="AN1247" s="326"/>
    </row>
    <row r="1248" spans="1:40" x14ac:dyDescent="0.15">
      <c r="A1248" s="327"/>
      <c r="B1248" s="320"/>
      <c r="C1248" s="320"/>
      <c r="D1248" s="320"/>
      <c r="E1248" s="320"/>
      <c r="F1248" s="320"/>
      <c r="G1248" s="320"/>
      <c r="H1248" s="320"/>
      <c r="I1248" s="320"/>
      <c r="J1248" s="320"/>
      <c r="K1248" s="320"/>
      <c r="L1248" s="320"/>
      <c r="M1248" s="320"/>
      <c r="N1248" s="320"/>
      <c r="O1248" s="321"/>
      <c r="P1248" s="321"/>
      <c r="Y1248" s="326"/>
      <c r="Z1248" s="326"/>
      <c r="AA1248" s="326"/>
      <c r="AB1248" s="326"/>
      <c r="AC1248" s="326"/>
      <c r="AD1248" s="326"/>
      <c r="AG1248" s="326"/>
      <c r="AH1248" s="326"/>
      <c r="AI1248" s="326"/>
      <c r="AL1248" s="326"/>
      <c r="AM1248" s="326"/>
      <c r="AN1248" s="326"/>
    </row>
    <row r="1249" spans="1:40" x14ac:dyDescent="0.15">
      <c r="A1249" s="327"/>
      <c r="B1249" s="320"/>
      <c r="C1249" s="320"/>
      <c r="D1249" s="320"/>
      <c r="E1249" s="320"/>
      <c r="F1249" s="320"/>
      <c r="G1249" s="320"/>
      <c r="H1249" s="320"/>
      <c r="I1249" s="320"/>
      <c r="J1249" s="320"/>
      <c r="K1249" s="320"/>
      <c r="L1249" s="320"/>
      <c r="M1249" s="320"/>
      <c r="N1249" s="320"/>
      <c r="O1249" s="321"/>
      <c r="P1249" s="321"/>
      <c r="Y1249" s="326"/>
      <c r="Z1249" s="326"/>
      <c r="AA1249" s="326"/>
      <c r="AB1249" s="326"/>
      <c r="AC1249" s="326"/>
      <c r="AD1249" s="326"/>
      <c r="AG1249" s="326"/>
      <c r="AH1249" s="326"/>
      <c r="AI1249" s="326"/>
      <c r="AL1249" s="326"/>
      <c r="AM1249" s="326"/>
      <c r="AN1249" s="326"/>
    </row>
    <row r="1250" spans="1:40" x14ac:dyDescent="0.15">
      <c r="A1250" s="327"/>
      <c r="B1250" s="320"/>
      <c r="C1250" s="320"/>
      <c r="D1250" s="320"/>
      <c r="E1250" s="320"/>
      <c r="F1250" s="320"/>
      <c r="G1250" s="320"/>
      <c r="H1250" s="320"/>
      <c r="I1250" s="320"/>
      <c r="J1250" s="320"/>
      <c r="K1250" s="320"/>
      <c r="L1250" s="320"/>
      <c r="M1250" s="320"/>
      <c r="N1250" s="320"/>
      <c r="O1250" s="321"/>
      <c r="P1250" s="321"/>
      <c r="Y1250" s="326"/>
      <c r="Z1250" s="326"/>
      <c r="AA1250" s="326"/>
      <c r="AB1250" s="326"/>
      <c r="AC1250" s="326"/>
      <c r="AD1250" s="326"/>
      <c r="AG1250" s="326"/>
      <c r="AH1250" s="326"/>
      <c r="AI1250" s="326"/>
      <c r="AL1250" s="326"/>
      <c r="AM1250" s="326"/>
      <c r="AN1250" s="326"/>
    </row>
    <row r="1251" spans="1:40" x14ac:dyDescent="0.15">
      <c r="A1251" s="327"/>
      <c r="B1251" s="320"/>
      <c r="C1251" s="320"/>
      <c r="D1251" s="320"/>
      <c r="E1251" s="320"/>
      <c r="F1251" s="320"/>
      <c r="G1251" s="320"/>
      <c r="H1251" s="320"/>
      <c r="I1251" s="320"/>
      <c r="J1251" s="320"/>
      <c r="K1251" s="320"/>
      <c r="L1251" s="320"/>
      <c r="M1251" s="320"/>
      <c r="N1251" s="320"/>
      <c r="O1251" s="321"/>
      <c r="P1251" s="321"/>
      <c r="Y1251" s="326"/>
      <c r="Z1251" s="326"/>
      <c r="AA1251" s="326"/>
      <c r="AB1251" s="326"/>
      <c r="AC1251" s="326"/>
      <c r="AD1251" s="326"/>
      <c r="AG1251" s="326"/>
      <c r="AH1251" s="326"/>
      <c r="AI1251" s="326"/>
      <c r="AL1251" s="326"/>
      <c r="AM1251" s="326"/>
      <c r="AN1251" s="326"/>
    </row>
    <row r="1252" spans="1:40" x14ac:dyDescent="0.15">
      <c r="A1252" s="327"/>
      <c r="B1252" s="320"/>
      <c r="C1252" s="320"/>
      <c r="D1252" s="320"/>
      <c r="E1252" s="320"/>
      <c r="F1252" s="320"/>
      <c r="G1252" s="320"/>
      <c r="H1252" s="320"/>
      <c r="I1252" s="320"/>
      <c r="J1252" s="320"/>
      <c r="K1252" s="320"/>
      <c r="L1252" s="320"/>
      <c r="M1252" s="320"/>
      <c r="N1252" s="320"/>
      <c r="O1252" s="321"/>
      <c r="P1252" s="321"/>
      <c r="Y1252" s="326"/>
      <c r="Z1252" s="326"/>
      <c r="AA1252" s="326"/>
      <c r="AB1252" s="326"/>
      <c r="AC1252" s="326"/>
      <c r="AD1252" s="326"/>
      <c r="AG1252" s="326"/>
      <c r="AH1252" s="326"/>
      <c r="AI1252" s="326"/>
      <c r="AL1252" s="326"/>
      <c r="AM1252" s="326"/>
      <c r="AN1252" s="326"/>
    </row>
    <row r="1253" spans="1:40" x14ac:dyDescent="0.15">
      <c r="A1253" s="327"/>
      <c r="B1253" s="320"/>
      <c r="C1253" s="320"/>
      <c r="D1253" s="320"/>
      <c r="E1253" s="320"/>
      <c r="F1253" s="320"/>
      <c r="G1253" s="320"/>
      <c r="H1253" s="320"/>
      <c r="I1253" s="320"/>
      <c r="J1253" s="320"/>
      <c r="K1253" s="320"/>
      <c r="L1253" s="320"/>
      <c r="M1253" s="320"/>
      <c r="N1253" s="320"/>
      <c r="O1253" s="321"/>
      <c r="P1253" s="321"/>
      <c r="Y1253" s="326"/>
      <c r="Z1253" s="326"/>
      <c r="AA1253" s="326"/>
      <c r="AB1253" s="326"/>
      <c r="AC1253" s="326"/>
      <c r="AD1253" s="326"/>
      <c r="AG1253" s="326"/>
      <c r="AH1253" s="326"/>
      <c r="AI1253" s="326"/>
      <c r="AL1253" s="326"/>
      <c r="AM1253" s="326"/>
      <c r="AN1253" s="326"/>
    </row>
    <row r="1254" spans="1:40" x14ac:dyDescent="0.15">
      <c r="A1254" s="327"/>
      <c r="B1254" s="320"/>
      <c r="C1254" s="320"/>
      <c r="D1254" s="320"/>
      <c r="E1254" s="320"/>
      <c r="F1254" s="320"/>
      <c r="G1254" s="320"/>
      <c r="H1254" s="320"/>
      <c r="I1254" s="320"/>
      <c r="J1254" s="320"/>
      <c r="K1254" s="320"/>
      <c r="L1254" s="320"/>
      <c r="M1254" s="320"/>
      <c r="N1254" s="320"/>
      <c r="O1254" s="321"/>
      <c r="P1254" s="321"/>
      <c r="Y1254" s="326"/>
      <c r="Z1254" s="326"/>
      <c r="AA1254" s="326"/>
      <c r="AB1254" s="326"/>
      <c r="AC1254" s="326"/>
      <c r="AD1254" s="326"/>
      <c r="AG1254" s="326"/>
      <c r="AH1254" s="326"/>
      <c r="AI1254" s="326"/>
      <c r="AL1254" s="326"/>
      <c r="AM1254" s="326"/>
      <c r="AN1254" s="326"/>
    </row>
    <row r="1255" spans="1:40" x14ac:dyDescent="0.15">
      <c r="A1255" s="327"/>
      <c r="B1255" s="320"/>
      <c r="C1255" s="320"/>
      <c r="D1255" s="320"/>
      <c r="E1255" s="320"/>
      <c r="F1255" s="320"/>
      <c r="G1255" s="320"/>
      <c r="H1255" s="320"/>
      <c r="I1255" s="320"/>
      <c r="J1255" s="320"/>
      <c r="K1255" s="320"/>
      <c r="L1255" s="320"/>
      <c r="M1255" s="320"/>
      <c r="N1255" s="320"/>
      <c r="O1255" s="321"/>
      <c r="P1255" s="321"/>
      <c r="Y1255" s="326"/>
      <c r="Z1255" s="326"/>
      <c r="AA1255" s="326"/>
      <c r="AB1255" s="326"/>
      <c r="AC1255" s="326"/>
      <c r="AD1255" s="326"/>
      <c r="AG1255" s="326"/>
      <c r="AH1255" s="326"/>
      <c r="AI1255" s="326"/>
      <c r="AL1255" s="326"/>
      <c r="AM1255" s="326"/>
      <c r="AN1255" s="326"/>
    </row>
    <row r="1256" spans="1:40" x14ac:dyDescent="0.15">
      <c r="A1256" s="327"/>
      <c r="B1256" s="320"/>
      <c r="C1256" s="320"/>
      <c r="D1256" s="320"/>
      <c r="E1256" s="320"/>
      <c r="F1256" s="320"/>
      <c r="G1256" s="320"/>
      <c r="H1256" s="320"/>
      <c r="I1256" s="320"/>
      <c r="J1256" s="320"/>
      <c r="K1256" s="320"/>
      <c r="L1256" s="320"/>
      <c r="M1256" s="320"/>
      <c r="N1256" s="320"/>
      <c r="O1256" s="321"/>
      <c r="P1256" s="321"/>
      <c r="Y1256" s="326"/>
      <c r="Z1256" s="326"/>
      <c r="AA1256" s="326"/>
      <c r="AB1256" s="326"/>
      <c r="AC1256" s="326"/>
      <c r="AD1256" s="326"/>
      <c r="AG1256" s="326"/>
      <c r="AH1256" s="326"/>
      <c r="AI1256" s="326"/>
      <c r="AL1256" s="326"/>
      <c r="AM1256" s="326"/>
      <c r="AN1256" s="326"/>
    </row>
    <row r="1257" spans="1:40" x14ac:dyDescent="0.15">
      <c r="A1257" s="327"/>
      <c r="B1257" s="320"/>
      <c r="C1257" s="320"/>
      <c r="D1257" s="320"/>
      <c r="E1257" s="320"/>
      <c r="F1257" s="320"/>
      <c r="G1257" s="320"/>
      <c r="H1257" s="320"/>
      <c r="I1257" s="320"/>
      <c r="J1257" s="320"/>
      <c r="K1257" s="320"/>
      <c r="L1257" s="320"/>
      <c r="M1257" s="320"/>
      <c r="N1257" s="320"/>
      <c r="O1257" s="321"/>
      <c r="P1257" s="321"/>
      <c r="Y1257" s="326"/>
      <c r="Z1257" s="326"/>
      <c r="AA1257" s="326"/>
      <c r="AB1257" s="326"/>
      <c r="AC1257" s="326"/>
      <c r="AD1257" s="326"/>
      <c r="AG1257" s="326"/>
      <c r="AH1257" s="326"/>
      <c r="AI1257" s="326"/>
      <c r="AL1257" s="326"/>
      <c r="AM1257" s="326"/>
      <c r="AN1257" s="326"/>
    </row>
    <row r="1258" spans="1:40" x14ac:dyDescent="0.15">
      <c r="A1258" s="327"/>
      <c r="B1258" s="320"/>
      <c r="C1258" s="320"/>
      <c r="D1258" s="320"/>
      <c r="E1258" s="320"/>
      <c r="F1258" s="320"/>
      <c r="G1258" s="320"/>
      <c r="H1258" s="320"/>
      <c r="I1258" s="320"/>
      <c r="J1258" s="320"/>
      <c r="K1258" s="320"/>
      <c r="L1258" s="320"/>
      <c r="M1258" s="320"/>
      <c r="N1258" s="320"/>
      <c r="O1258" s="321"/>
      <c r="P1258" s="321"/>
      <c r="Y1258" s="326"/>
      <c r="Z1258" s="326"/>
      <c r="AA1258" s="326"/>
      <c r="AB1258" s="326"/>
      <c r="AC1258" s="326"/>
      <c r="AD1258" s="326"/>
      <c r="AG1258" s="326"/>
      <c r="AH1258" s="326"/>
      <c r="AI1258" s="326"/>
      <c r="AL1258" s="326"/>
      <c r="AM1258" s="326"/>
      <c r="AN1258" s="326"/>
    </row>
    <row r="1259" spans="1:40" x14ac:dyDescent="0.15">
      <c r="A1259" s="327"/>
      <c r="B1259" s="320"/>
      <c r="C1259" s="320"/>
      <c r="D1259" s="320"/>
      <c r="E1259" s="320"/>
      <c r="F1259" s="320"/>
      <c r="G1259" s="320"/>
      <c r="H1259" s="320"/>
      <c r="I1259" s="320"/>
      <c r="J1259" s="320"/>
      <c r="K1259" s="320"/>
      <c r="L1259" s="320"/>
      <c r="M1259" s="320"/>
      <c r="N1259" s="320"/>
      <c r="O1259" s="321"/>
      <c r="P1259" s="321"/>
      <c r="Y1259" s="326"/>
      <c r="Z1259" s="326"/>
      <c r="AA1259" s="326"/>
      <c r="AB1259" s="326"/>
      <c r="AC1259" s="326"/>
      <c r="AD1259" s="326"/>
      <c r="AG1259" s="326"/>
      <c r="AH1259" s="326"/>
      <c r="AI1259" s="326"/>
      <c r="AL1259" s="326"/>
      <c r="AM1259" s="326"/>
      <c r="AN1259" s="326"/>
    </row>
    <row r="1260" spans="1:40" x14ac:dyDescent="0.15">
      <c r="A1260" s="327"/>
      <c r="B1260" s="320"/>
      <c r="C1260" s="320"/>
      <c r="D1260" s="320"/>
      <c r="E1260" s="320"/>
      <c r="F1260" s="320"/>
      <c r="G1260" s="320"/>
      <c r="H1260" s="320"/>
      <c r="I1260" s="320"/>
      <c r="J1260" s="320"/>
      <c r="K1260" s="320"/>
      <c r="L1260" s="320"/>
      <c r="M1260" s="320"/>
      <c r="N1260" s="320"/>
      <c r="O1260" s="321"/>
      <c r="P1260" s="321"/>
      <c r="Y1260" s="326"/>
      <c r="Z1260" s="326"/>
      <c r="AA1260" s="326"/>
      <c r="AB1260" s="326"/>
      <c r="AC1260" s="326"/>
      <c r="AD1260" s="326"/>
      <c r="AG1260" s="326"/>
      <c r="AH1260" s="326"/>
      <c r="AI1260" s="326"/>
      <c r="AL1260" s="326"/>
      <c r="AM1260" s="326"/>
      <c r="AN1260" s="326"/>
    </row>
    <row r="1261" spans="1:40" x14ac:dyDescent="0.15">
      <c r="A1261" s="327"/>
      <c r="B1261" s="320"/>
      <c r="C1261" s="320"/>
      <c r="D1261" s="320"/>
      <c r="E1261" s="320"/>
      <c r="F1261" s="320"/>
      <c r="G1261" s="320"/>
      <c r="H1261" s="320"/>
      <c r="I1261" s="320"/>
      <c r="J1261" s="320"/>
      <c r="K1261" s="320"/>
      <c r="L1261" s="320"/>
      <c r="M1261" s="320"/>
      <c r="N1261" s="320"/>
      <c r="O1261" s="321"/>
      <c r="P1261" s="321"/>
      <c r="Y1261" s="326"/>
      <c r="Z1261" s="326"/>
      <c r="AA1261" s="326"/>
      <c r="AB1261" s="326"/>
      <c r="AC1261" s="326"/>
      <c r="AD1261" s="326"/>
      <c r="AG1261" s="326"/>
      <c r="AH1261" s="326"/>
      <c r="AI1261" s="326"/>
      <c r="AL1261" s="326"/>
      <c r="AM1261" s="326"/>
      <c r="AN1261" s="326"/>
    </row>
    <row r="1262" spans="1:40" x14ac:dyDescent="0.15">
      <c r="A1262" s="327"/>
      <c r="B1262" s="320"/>
      <c r="C1262" s="320"/>
      <c r="D1262" s="320"/>
      <c r="E1262" s="320"/>
      <c r="F1262" s="320"/>
      <c r="G1262" s="320"/>
      <c r="H1262" s="320"/>
      <c r="I1262" s="320"/>
      <c r="J1262" s="320"/>
      <c r="K1262" s="320"/>
      <c r="L1262" s="320"/>
      <c r="M1262" s="320"/>
      <c r="N1262" s="320"/>
      <c r="O1262" s="321"/>
      <c r="P1262" s="321"/>
      <c r="Y1262" s="326"/>
      <c r="Z1262" s="326"/>
      <c r="AA1262" s="326"/>
      <c r="AB1262" s="326"/>
      <c r="AC1262" s="326"/>
      <c r="AD1262" s="326"/>
      <c r="AG1262" s="326"/>
      <c r="AH1262" s="326"/>
      <c r="AI1262" s="326"/>
      <c r="AL1262" s="326"/>
      <c r="AM1262" s="326"/>
      <c r="AN1262" s="326"/>
    </row>
    <row r="1263" spans="1:40" x14ac:dyDescent="0.15">
      <c r="A1263" s="327"/>
      <c r="B1263" s="320"/>
      <c r="C1263" s="320"/>
      <c r="D1263" s="320"/>
      <c r="E1263" s="320"/>
      <c r="F1263" s="320"/>
      <c r="G1263" s="320"/>
      <c r="H1263" s="320"/>
      <c r="I1263" s="320"/>
      <c r="J1263" s="320"/>
      <c r="K1263" s="320"/>
      <c r="L1263" s="320"/>
      <c r="M1263" s="320"/>
      <c r="N1263" s="320"/>
      <c r="O1263" s="321"/>
      <c r="P1263" s="321"/>
      <c r="Y1263" s="326"/>
      <c r="Z1263" s="326"/>
      <c r="AA1263" s="326"/>
      <c r="AB1263" s="326"/>
      <c r="AC1263" s="326"/>
      <c r="AD1263" s="326"/>
      <c r="AG1263" s="326"/>
      <c r="AH1263" s="326"/>
      <c r="AI1263" s="326"/>
      <c r="AL1263" s="326"/>
      <c r="AM1263" s="326"/>
      <c r="AN1263" s="326"/>
    </row>
    <row r="1264" spans="1:40" x14ac:dyDescent="0.15">
      <c r="A1264" s="327"/>
      <c r="B1264" s="320"/>
      <c r="C1264" s="320"/>
      <c r="D1264" s="320"/>
      <c r="E1264" s="320"/>
      <c r="F1264" s="320"/>
      <c r="G1264" s="320"/>
      <c r="H1264" s="320"/>
      <c r="I1264" s="320"/>
      <c r="J1264" s="320"/>
      <c r="K1264" s="320"/>
      <c r="L1264" s="320"/>
      <c r="M1264" s="320"/>
      <c r="N1264" s="320"/>
      <c r="O1264" s="321"/>
      <c r="P1264" s="321"/>
      <c r="Y1264" s="326"/>
      <c r="Z1264" s="326"/>
      <c r="AA1264" s="326"/>
      <c r="AB1264" s="326"/>
      <c r="AC1264" s="326"/>
      <c r="AD1264" s="326"/>
      <c r="AG1264" s="326"/>
      <c r="AH1264" s="326"/>
      <c r="AI1264" s="326"/>
      <c r="AL1264" s="326"/>
      <c r="AM1264" s="326"/>
      <c r="AN1264" s="326"/>
    </row>
    <row r="1265" spans="1:40" x14ac:dyDescent="0.15">
      <c r="A1265" s="327"/>
      <c r="B1265" s="320"/>
      <c r="C1265" s="320"/>
      <c r="D1265" s="320"/>
      <c r="E1265" s="320"/>
      <c r="F1265" s="320"/>
      <c r="G1265" s="320"/>
      <c r="H1265" s="320"/>
      <c r="I1265" s="320"/>
      <c r="J1265" s="320"/>
      <c r="K1265" s="320"/>
      <c r="L1265" s="320"/>
      <c r="M1265" s="320"/>
      <c r="N1265" s="320"/>
      <c r="O1265" s="321"/>
      <c r="P1265" s="321"/>
      <c r="Y1265" s="326"/>
      <c r="Z1265" s="326"/>
      <c r="AA1265" s="326"/>
      <c r="AB1265" s="326"/>
      <c r="AC1265" s="326"/>
      <c r="AD1265" s="326"/>
      <c r="AG1265" s="326"/>
      <c r="AH1265" s="326"/>
      <c r="AI1265" s="326"/>
      <c r="AL1265" s="326"/>
      <c r="AM1265" s="326"/>
      <c r="AN1265" s="326"/>
    </row>
    <row r="1266" spans="1:40" x14ac:dyDescent="0.15">
      <c r="A1266" s="327"/>
      <c r="B1266" s="320"/>
      <c r="C1266" s="320"/>
      <c r="D1266" s="320"/>
      <c r="E1266" s="320"/>
      <c r="F1266" s="320"/>
      <c r="G1266" s="320"/>
      <c r="H1266" s="320"/>
      <c r="I1266" s="320"/>
      <c r="J1266" s="320"/>
      <c r="K1266" s="320"/>
      <c r="L1266" s="320"/>
      <c r="M1266" s="320"/>
      <c r="N1266" s="320"/>
      <c r="O1266" s="321"/>
      <c r="P1266" s="321"/>
      <c r="Y1266" s="326"/>
      <c r="Z1266" s="326"/>
      <c r="AA1266" s="326"/>
      <c r="AB1266" s="326"/>
      <c r="AC1266" s="326"/>
      <c r="AD1266" s="326"/>
      <c r="AG1266" s="326"/>
      <c r="AH1266" s="326"/>
      <c r="AI1266" s="326"/>
      <c r="AL1266" s="326"/>
      <c r="AM1266" s="326"/>
      <c r="AN1266" s="326"/>
    </row>
    <row r="1267" spans="1:40" x14ac:dyDescent="0.15">
      <c r="A1267" s="327"/>
      <c r="B1267" s="320"/>
      <c r="C1267" s="320"/>
      <c r="D1267" s="320"/>
      <c r="E1267" s="320"/>
      <c r="F1267" s="320"/>
      <c r="G1267" s="320"/>
      <c r="H1267" s="320"/>
      <c r="I1267" s="320"/>
      <c r="J1267" s="320"/>
      <c r="K1267" s="320"/>
      <c r="L1267" s="320"/>
      <c r="M1267" s="320"/>
      <c r="N1267" s="320"/>
      <c r="O1267" s="321"/>
      <c r="P1267" s="321"/>
      <c r="Y1267" s="326"/>
      <c r="Z1267" s="326"/>
      <c r="AA1267" s="326"/>
      <c r="AB1267" s="326"/>
      <c r="AC1267" s="326"/>
      <c r="AD1267" s="326"/>
      <c r="AG1267" s="326"/>
      <c r="AH1267" s="326"/>
      <c r="AI1267" s="326"/>
      <c r="AL1267" s="326"/>
      <c r="AM1267" s="326"/>
      <c r="AN1267" s="326"/>
    </row>
    <row r="1268" spans="1:40" x14ac:dyDescent="0.15">
      <c r="A1268" s="327"/>
      <c r="B1268" s="320"/>
      <c r="C1268" s="320"/>
      <c r="D1268" s="320"/>
      <c r="E1268" s="320"/>
      <c r="F1268" s="320"/>
      <c r="G1268" s="320"/>
      <c r="H1268" s="320"/>
      <c r="I1268" s="320"/>
      <c r="J1268" s="320"/>
      <c r="K1268" s="320"/>
      <c r="L1268" s="320"/>
      <c r="M1268" s="320"/>
      <c r="N1268" s="320"/>
      <c r="O1268" s="321"/>
      <c r="P1268" s="321"/>
      <c r="Y1268" s="326"/>
      <c r="Z1268" s="326"/>
      <c r="AA1268" s="326"/>
      <c r="AB1268" s="326"/>
      <c r="AC1268" s="326"/>
      <c r="AD1268" s="326"/>
      <c r="AG1268" s="326"/>
      <c r="AH1268" s="326"/>
      <c r="AI1268" s="326"/>
      <c r="AL1268" s="326"/>
      <c r="AM1268" s="326"/>
      <c r="AN1268" s="326"/>
    </row>
    <row r="1269" spans="1:40" x14ac:dyDescent="0.15">
      <c r="A1269" s="327"/>
      <c r="B1269" s="320"/>
      <c r="C1269" s="320"/>
      <c r="D1269" s="320"/>
      <c r="E1269" s="320"/>
      <c r="F1269" s="320"/>
      <c r="G1269" s="320"/>
      <c r="H1269" s="320"/>
      <c r="I1269" s="320"/>
      <c r="J1269" s="320"/>
      <c r="K1269" s="320"/>
      <c r="L1269" s="320"/>
      <c r="M1269" s="320"/>
      <c r="N1269" s="320"/>
      <c r="O1269" s="321"/>
      <c r="P1269" s="321"/>
      <c r="Y1269" s="326"/>
      <c r="Z1269" s="326"/>
      <c r="AA1269" s="326"/>
      <c r="AB1269" s="326"/>
      <c r="AC1269" s="326"/>
      <c r="AD1269" s="326"/>
      <c r="AG1269" s="326"/>
      <c r="AH1269" s="326"/>
      <c r="AI1269" s="326"/>
      <c r="AL1269" s="326"/>
      <c r="AM1269" s="326"/>
      <c r="AN1269" s="326"/>
    </row>
    <row r="1270" spans="1:40" x14ac:dyDescent="0.15">
      <c r="A1270" s="327"/>
      <c r="B1270" s="320"/>
      <c r="C1270" s="320"/>
      <c r="D1270" s="320"/>
      <c r="E1270" s="320"/>
      <c r="F1270" s="320"/>
      <c r="G1270" s="320"/>
      <c r="H1270" s="320"/>
      <c r="I1270" s="320"/>
      <c r="J1270" s="320"/>
      <c r="K1270" s="320"/>
      <c r="L1270" s="320"/>
      <c r="M1270" s="320"/>
      <c r="N1270" s="320"/>
      <c r="O1270" s="321"/>
      <c r="P1270" s="321"/>
      <c r="Y1270" s="326"/>
      <c r="Z1270" s="326"/>
      <c r="AA1270" s="326"/>
      <c r="AB1270" s="326"/>
      <c r="AC1270" s="326"/>
      <c r="AD1270" s="326"/>
      <c r="AG1270" s="326"/>
      <c r="AH1270" s="326"/>
      <c r="AI1270" s="326"/>
      <c r="AL1270" s="326"/>
      <c r="AM1270" s="326"/>
      <c r="AN1270" s="326"/>
    </row>
    <row r="1271" spans="1:40" x14ac:dyDescent="0.15">
      <c r="A1271" s="327"/>
      <c r="B1271" s="320"/>
      <c r="C1271" s="320"/>
      <c r="D1271" s="320"/>
      <c r="E1271" s="320"/>
      <c r="F1271" s="320"/>
      <c r="G1271" s="320"/>
      <c r="H1271" s="320"/>
      <c r="I1271" s="320"/>
      <c r="J1271" s="320"/>
      <c r="K1271" s="320"/>
      <c r="L1271" s="320"/>
      <c r="M1271" s="320"/>
      <c r="N1271" s="320"/>
      <c r="O1271" s="321"/>
      <c r="P1271" s="321"/>
      <c r="Y1271" s="326"/>
      <c r="Z1271" s="326"/>
      <c r="AA1271" s="326"/>
      <c r="AB1271" s="326"/>
      <c r="AC1271" s="326"/>
      <c r="AD1271" s="326"/>
      <c r="AG1271" s="326"/>
      <c r="AH1271" s="326"/>
      <c r="AI1271" s="326"/>
      <c r="AL1271" s="326"/>
      <c r="AM1271" s="326"/>
      <c r="AN1271" s="326"/>
    </row>
    <row r="1272" spans="1:40" x14ac:dyDescent="0.15">
      <c r="A1272" s="327"/>
      <c r="B1272" s="320"/>
      <c r="C1272" s="320"/>
      <c r="D1272" s="320"/>
      <c r="E1272" s="320"/>
      <c r="F1272" s="320"/>
      <c r="G1272" s="320"/>
      <c r="H1272" s="320"/>
      <c r="I1272" s="320"/>
      <c r="J1272" s="320"/>
      <c r="K1272" s="320"/>
      <c r="L1272" s="320"/>
      <c r="M1272" s="320"/>
      <c r="N1272" s="320"/>
      <c r="O1272" s="321"/>
      <c r="P1272" s="321"/>
      <c r="Y1272" s="326"/>
      <c r="Z1272" s="326"/>
      <c r="AA1272" s="326"/>
      <c r="AB1272" s="326"/>
      <c r="AC1272" s="326"/>
      <c r="AD1272" s="326"/>
      <c r="AG1272" s="326"/>
      <c r="AH1272" s="326"/>
      <c r="AI1272" s="326"/>
      <c r="AL1272" s="326"/>
      <c r="AM1272" s="326"/>
      <c r="AN1272" s="326"/>
    </row>
    <row r="1273" spans="1:40" x14ac:dyDescent="0.15">
      <c r="A1273" s="327"/>
      <c r="B1273" s="320"/>
      <c r="C1273" s="320"/>
      <c r="D1273" s="320"/>
      <c r="E1273" s="320"/>
      <c r="F1273" s="320"/>
      <c r="G1273" s="320"/>
      <c r="H1273" s="320"/>
      <c r="I1273" s="320"/>
      <c r="J1273" s="320"/>
      <c r="K1273" s="320"/>
      <c r="L1273" s="320"/>
      <c r="M1273" s="320"/>
      <c r="N1273" s="320"/>
      <c r="O1273" s="321"/>
      <c r="P1273" s="321"/>
      <c r="Y1273" s="326"/>
      <c r="Z1273" s="326"/>
      <c r="AA1273" s="326"/>
      <c r="AB1273" s="326"/>
      <c r="AC1273" s="326"/>
      <c r="AD1273" s="326"/>
      <c r="AG1273" s="326"/>
      <c r="AH1273" s="326"/>
      <c r="AI1273" s="326"/>
      <c r="AL1273" s="326"/>
      <c r="AM1273" s="326"/>
      <c r="AN1273" s="326"/>
    </row>
    <row r="1274" spans="1:40" x14ac:dyDescent="0.15">
      <c r="A1274" s="327"/>
      <c r="B1274" s="320"/>
      <c r="C1274" s="320"/>
      <c r="D1274" s="320"/>
      <c r="E1274" s="320"/>
      <c r="F1274" s="320"/>
      <c r="G1274" s="320"/>
      <c r="H1274" s="320"/>
      <c r="I1274" s="320"/>
      <c r="J1274" s="320"/>
      <c r="K1274" s="320"/>
      <c r="L1274" s="320"/>
      <c r="M1274" s="320"/>
      <c r="N1274" s="320"/>
      <c r="O1274" s="321"/>
      <c r="P1274" s="321"/>
      <c r="Y1274" s="326"/>
      <c r="Z1274" s="326"/>
      <c r="AA1274" s="326"/>
      <c r="AB1274" s="326"/>
      <c r="AC1274" s="326"/>
      <c r="AD1274" s="326"/>
      <c r="AG1274" s="326"/>
      <c r="AH1274" s="326"/>
      <c r="AI1274" s="326"/>
      <c r="AL1274" s="326"/>
      <c r="AM1274" s="326"/>
      <c r="AN1274" s="326"/>
    </row>
    <row r="1275" spans="1:40" x14ac:dyDescent="0.15">
      <c r="A1275" s="327"/>
      <c r="B1275" s="320"/>
      <c r="C1275" s="320"/>
      <c r="D1275" s="320"/>
      <c r="E1275" s="320"/>
      <c r="F1275" s="320"/>
      <c r="G1275" s="320"/>
      <c r="H1275" s="320"/>
      <c r="I1275" s="320"/>
      <c r="J1275" s="320"/>
      <c r="K1275" s="320"/>
      <c r="L1275" s="320"/>
      <c r="M1275" s="320"/>
      <c r="N1275" s="320"/>
      <c r="O1275" s="321"/>
      <c r="P1275" s="321"/>
      <c r="Y1275" s="326"/>
      <c r="Z1275" s="326"/>
      <c r="AA1275" s="326"/>
      <c r="AB1275" s="326"/>
      <c r="AC1275" s="326"/>
      <c r="AD1275" s="326"/>
      <c r="AG1275" s="326"/>
      <c r="AH1275" s="326"/>
      <c r="AI1275" s="326"/>
      <c r="AL1275" s="326"/>
      <c r="AM1275" s="326"/>
      <c r="AN1275" s="326"/>
    </row>
    <row r="1276" spans="1:40" x14ac:dyDescent="0.15">
      <c r="A1276" s="327"/>
      <c r="B1276" s="320"/>
      <c r="C1276" s="320"/>
      <c r="D1276" s="320"/>
      <c r="E1276" s="320"/>
      <c r="F1276" s="320"/>
      <c r="G1276" s="320"/>
      <c r="H1276" s="320"/>
      <c r="I1276" s="320"/>
      <c r="J1276" s="320"/>
      <c r="K1276" s="320"/>
      <c r="L1276" s="320"/>
      <c r="M1276" s="320"/>
      <c r="N1276" s="320"/>
      <c r="O1276" s="321"/>
      <c r="P1276" s="321"/>
      <c r="Y1276" s="326"/>
      <c r="Z1276" s="326"/>
      <c r="AA1276" s="326"/>
      <c r="AB1276" s="326"/>
      <c r="AC1276" s="326"/>
      <c r="AD1276" s="326"/>
      <c r="AG1276" s="326"/>
      <c r="AH1276" s="326"/>
      <c r="AI1276" s="326"/>
      <c r="AL1276" s="326"/>
      <c r="AM1276" s="326"/>
      <c r="AN1276" s="326"/>
    </row>
    <row r="1277" spans="1:40" x14ac:dyDescent="0.15">
      <c r="A1277" s="327"/>
      <c r="B1277" s="320"/>
      <c r="C1277" s="320"/>
      <c r="D1277" s="320"/>
      <c r="E1277" s="320"/>
      <c r="F1277" s="320"/>
      <c r="G1277" s="320"/>
      <c r="H1277" s="320"/>
      <c r="I1277" s="320"/>
      <c r="J1277" s="320"/>
      <c r="K1277" s="320"/>
      <c r="L1277" s="320"/>
      <c r="M1277" s="320"/>
      <c r="N1277" s="320"/>
      <c r="O1277" s="321"/>
      <c r="P1277" s="321"/>
      <c r="Y1277" s="326"/>
      <c r="Z1277" s="326"/>
      <c r="AA1277" s="326"/>
      <c r="AB1277" s="326"/>
      <c r="AC1277" s="326"/>
      <c r="AD1277" s="326"/>
      <c r="AG1277" s="326"/>
      <c r="AH1277" s="326"/>
      <c r="AI1277" s="326"/>
      <c r="AL1277" s="326"/>
      <c r="AM1277" s="326"/>
      <c r="AN1277" s="326"/>
    </row>
    <row r="1278" spans="1:40" x14ac:dyDescent="0.15">
      <c r="A1278" s="327"/>
      <c r="B1278" s="320"/>
      <c r="C1278" s="320"/>
      <c r="D1278" s="320"/>
      <c r="E1278" s="320"/>
      <c r="F1278" s="320"/>
      <c r="G1278" s="320"/>
      <c r="H1278" s="320"/>
      <c r="I1278" s="320"/>
      <c r="J1278" s="320"/>
      <c r="K1278" s="320"/>
      <c r="L1278" s="320"/>
      <c r="M1278" s="320"/>
      <c r="N1278" s="320"/>
      <c r="O1278" s="321"/>
      <c r="P1278" s="321"/>
      <c r="Y1278" s="326"/>
      <c r="Z1278" s="326"/>
      <c r="AA1278" s="326"/>
      <c r="AB1278" s="326"/>
      <c r="AC1278" s="326"/>
      <c r="AD1278" s="326"/>
      <c r="AG1278" s="326"/>
      <c r="AH1278" s="326"/>
      <c r="AI1278" s="326"/>
      <c r="AL1278" s="326"/>
      <c r="AM1278" s="326"/>
      <c r="AN1278" s="326"/>
    </row>
    <row r="1279" spans="1:40" x14ac:dyDescent="0.15">
      <c r="A1279" s="327"/>
      <c r="B1279" s="320"/>
      <c r="C1279" s="320"/>
      <c r="D1279" s="320"/>
      <c r="E1279" s="320"/>
      <c r="F1279" s="320"/>
      <c r="G1279" s="320"/>
      <c r="H1279" s="320"/>
      <c r="I1279" s="320"/>
      <c r="J1279" s="320"/>
      <c r="K1279" s="320"/>
      <c r="L1279" s="320"/>
      <c r="M1279" s="320"/>
      <c r="N1279" s="320"/>
      <c r="O1279" s="321"/>
      <c r="P1279" s="321"/>
      <c r="Y1279" s="326"/>
      <c r="Z1279" s="326"/>
      <c r="AA1279" s="326"/>
      <c r="AB1279" s="326"/>
      <c r="AC1279" s="326"/>
      <c r="AD1279" s="326"/>
      <c r="AG1279" s="326"/>
      <c r="AH1279" s="326"/>
      <c r="AI1279" s="326"/>
      <c r="AL1279" s="326"/>
      <c r="AM1279" s="326"/>
      <c r="AN1279" s="326"/>
    </row>
    <row r="1280" spans="1:40" x14ac:dyDescent="0.15">
      <c r="A1280" s="327"/>
      <c r="B1280" s="320"/>
      <c r="C1280" s="320"/>
      <c r="D1280" s="320"/>
      <c r="E1280" s="320"/>
      <c r="F1280" s="320"/>
      <c r="G1280" s="320"/>
      <c r="H1280" s="320"/>
      <c r="I1280" s="320"/>
      <c r="J1280" s="320"/>
      <c r="K1280" s="320"/>
      <c r="L1280" s="320"/>
      <c r="M1280" s="320"/>
      <c r="N1280" s="320"/>
      <c r="O1280" s="321"/>
      <c r="P1280" s="321"/>
      <c r="Y1280" s="326"/>
      <c r="Z1280" s="326"/>
      <c r="AA1280" s="326"/>
      <c r="AB1280" s="326"/>
      <c r="AC1280" s="326"/>
      <c r="AD1280" s="326"/>
      <c r="AG1280" s="326"/>
      <c r="AH1280" s="326"/>
      <c r="AI1280" s="326"/>
      <c r="AL1280" s="326"/>
      <c r="AM1280" s="326"/>
      <c r="AN1280" s="326"/>
    </row>
    <row r="1281" spans="1:40" x14ac:dyDescent="0.15">
      <c r="A1281" s="327"/>
      <c r="B1281" s="320"/>
      <c r="C1281" s="320"/>
      <c r="D1281" s="320"/>
      <c r="E1281" s="320"/>
      <c r="F1281" s="320"/>
      <c r="G1281" s="320"/>
      <c r="H1281" s="320"/>
      <c r="I1281" s="320"/>
      <c r="J1281" s="320"/>
      <c r="K1281" s="320"/>
      <c r="L1281" s="320"/>
      <c r="M1281" s="320"/>
      <c r="N1281" s="320"/>
      <c r="O1281" s="321"/>
      <c r="P1281" s="321"/>
      <c r="Y1281" s="326"/>
      <c r="Z1281" s="326"/>
      <c r="AA1281" s="326"/>
      <c r="AB1281" s="326"/>
      <c r="AC1281" s="326"/>
      <c r="AD1281" s="326"/>
      <c r="AG1281" s="326"/>
      <c r="AH1281" s="326"/>
      <c r="AI1281" s="326"/>
      <c r="AL1281" s="326"/>
      <c r="AM1281" s="326"/>
      <c r="AN1281" s="326"/>
    </row>
    <row r="1282" spans="1:40" x14ac:dyDescent="0.15">
      <c r="A1282" s="327"/>
      <c r="B1282" s="320"/>
      <c r="C1282" s="320"/>
      <c r="D1282" s="320"/>
      <c r="E1282" s="320"/>
      <c r="F1282" s="320"/>
      <c r="G1282" s="320"/>
      <c r="H1282" s="320"/>
      <c r="I1282" s="320"/>
      <c r="J1282" s="320"/>
      <c r="K1282" s="320"/>
      <c r="L1282" s="320"/>
      <c r="M1282" s="320"/>
      <c r="N1282" s="320"/>
      <c r="O1282" s="321"/>
      <c r="P1282" s="321"/>
      <c r="Y1282" s="326"/>
      <c r="Z1282" s="326"/>
      <c r="AA1282" s="326"/>
      <c r="AB1282" s="326"/>
      <c r="AC1282" s="326"/>
      <c r="AD1282" s="326"/>
      <c r="AG1282" s="326"/>
      <c r="AH1282" s="326"/>
      <c r="AI1282" s="326"/>
      <c r="AL1282" s="326"/>
      <c r="AM1282" s="326"/>
      <c r="AN1282" s="326"/>
    </row>
    <row r="1283" spans="1:40" x14ac:dyDescent="0.15">
      <c r="A1283" s="327"/>
      <c r="B1283" s="320"/>
      <c r="C1283" s="320"/>
      <c r="D1283" s="320"/>
      <c r="E1283" s="320"/>
      <c r="F1283" s="320"/>
      <c r="G1283" s="320"/>
      <c r="H1283" s="320"/>
      <c r="I1283" s="320"/>
      <c r="J1283" s="320"/>
      <c r="K1283" s="320"/>
      <c r="L1283" s="320"/>
      <c r="M1283" s="320"/>
      <c r="N1283" s="320"/>
      <c r="O1283" s="321"/>
      <c r="P1283" s="321"/>
      <c r="Y1283" s="326"/>
      <c r="Z1283" s="326"/>
      <c r="AA1283" s="326"/>
      <c r="AB1283" s="326"/>
      <c r="AC1283" s="326"/>
      <c r="AD1283" s="326"/>
      <c r="AG1283" s="326"/>
      <c r="AH1283" s="326"/>
      <c r="AI1283" s="326"/>
      <c r="AL1283" s="326"/>
      <c r="AM1283" s="326"/>
      <c r="AN1283" s="326"/>
    </row>
    <row r="1284" spans="1:40" x14ac:dyDescent="0.15">
      <c r="A1284" s="327"/>
      <c r="B1284" s="320"/>
      <c r="C1284" s="320"/>
      <c r="D1284" s="320"/>
      <c r="E1284" s="320"/>
      <c r="F1284" s="320"/>
      <c r="G1284" s="320"/>
      <c r="H1284" s="320"/>
      <c r="I1284" s="320"/>
      <c r="J1284" s="320"/>
      <c r="K1284" s="320"/>
      <c r="L1284" s="320"/>
      <c r="M1284" s="320"/>
      <c r="N1284" s="320"/>
      <c r="O1284" s="321"/>
      <c r="P1284" s="321"/>
      <c r="Y1284" s="326"/>
      <c r="Z1284" s="326"/>
      <c r="AA1284" s="326"/>
      <c r="AB1284" s="326"/>
      <c r="AC1284" s="326"/>
      <c r="AD1284" s="326"/>
      <c r="AG1284" s="326"/>
      <c r="AH1284" s="326"/>
      <c r="AI1284" s="326"/>
      <c r="AL1284" s="326"/>
      <c r="AM1284" s="326"/>
      <c r="AN1284" s="326"/>
    </row>
    <row r="1285" spans="1:40" x14ac:dyDescent="0.15">
      <c r="A1285" s="327"/>
      <c r="B1285" s="320"/>
      <c r="C1285" s="320"/>
      <c r="D1285" s="320"/>
      <c r="E1285" s="320"/>
      <c r="F1285" s="320"/>
      <c r="G1285" s="320"/>
      <c r="H1285" s="320"/>
      <c r="I1285" s="320"/>
      <c r="J1285" s="320"/>
      <c r="K1285" s="320"/>
      <c r="L1285" s="320"/>
      <c r="M1285" s="320"/>
      <c r="N1285" s="320"/>
      <c r="O1285" s="321"/>
      <c r="P1285" s="321"/>
      <c r="Y1285" s="326"/>
      <c r="Z1285" s="326"/>
      <c r="AA1285" s="326"/>
      <c r="AB1285" s="326"/>
      <c r="AC1285" s="326"/>
      <c r="AD1285" s="326"/>
      <c r="AG1285" s="326"/>
      <c r="AH1285" s="326"/>
      <c r="AI1285" s="326"/>
      <c r="AL1285" s="326"/>
      <c r="AM1285" s="326"/>
      <c r="AN1285" s="326"/>
    </row>
    <row r="1286" spans="1:40" x14ac:dyDescent="0.15">
      <c r="A1286" s="327"/>
      <c r="B1286" s="320"/>
      <c r="C1286" s="320"/>
      <c r="D1286" s="320"/>
      <c r="E1286" s="320"/>
      <c r="F1286" s="320"/>
      <c r="G1286" s="320"/>
      <c r="H1286" s="320"/>
      <c r="I1286" s="320"/>
      <c r="J1286" s="320"/>
      <c r="K1286" s="320"/>
      <c r="L1286" s="320"/>
      <c r="M1286" s="320"/>
      <c r="N1286" s="320"/>
      <c r="O1286" s="321"/>
      <c r="P1286" s="321"/>
      <c r="Y1286" s="326"/>
      <c r="Z1286" s="326"/>
      <c r="AA1286" s="326"/>
      <c r="AB1286" s="326"/>
      <c r="AC1286" s="326"/>
      <c r="AD1286" s="326"/>
      <c r="AG1286" s="326"/>
      <c r="AH1286" s="326"/>
      <c r="AI1286" s="326"/>
      <c r="AL1286" s="326"/>
      <c r="AM1286" s="326"/>
      <c r="AN1286" s="326"/>
    </row>
    <row r="1287" spans="1:40" x14ac:dyDescent="0.15">
      <c r="A1287" s="327"/>
      <c r="B1287" s="320"/>
      <c r="C1287" s="320"/>
      <c r="D1287" s="320"/>
      <c r="E1287" s="320"/>
      <c r="F1287" s="320"/>
      <c r="G1287" s="320"/>
      <c r="H1287" s="320"/>
      <c r="I1287" s="320"/>
      <c r="J1287" s="320"/>
      <c r="K1287" s="320"/>
      <c r="L1287" s="320"/>
      <c r="M1287" s="320"/>
      <c r="N1287" s="320"/>
      <c r="O1287" s="321"/>
      <c r="P1287" s="321"/>
      <c r="Y1287" s="326"/>
      <c r="Z1287" s="326"/>
      <c r="AA1287" s="326"/>
      <c r="AB1287" s="326"/>
      <c r="AC1287" s="326"/>
      <c r="AD1287" s="326"/>
      <c r="AG1287" s="326"/>
      <c r="AH1287" s="326"/>
      <c r="AI1287" s="326"/>
      <c r="AL1287" s="326"/>
      <c r="AM1287" s="326"/>
      <c r="AN1287" s="326"/>
    </row>
    <row r="1288" spans="1:40" x14ac:dyDescent="0.15">
      <c r="A1288" s="327"/>
      <c r="B1288" s="320"/>
      <c r="C1288" s="320"/>
      <c r="D1288" s="320"/>
      <c r="E1288" s="320"/>
      <c r="F1288" s="320"/>
      <c r="G1288" s="320"/>
      <c r="H1288" s="320"/>
      <c r="I1288" s="320"/>
      <c r="J1288" s="320"/>
      <c r="K1288" s="320"/>
      <c r="L1288" s="320"/>
      <c r="M1288" s="320"/>
      <c r="N1288" s="320"/>
      <c r="O1288" s="321"/>
      <c r="P1288" s="321"/>
      <c r="Y1288" s="326"/>
      <c r="Z1288" s="326"/>
      <c r="AA1288" s="326"/>
      <c r="AB1288" s="326"/>
      <c r="AC1288" s="326"/>
      <c r="AD1288" s="326"/>
      <c r="AG1288" s="326"/>
      <c r="AH1288" s="326"/>
      <c r="AI1288" s="326"/>
      <c r="AL1288" s="326"/>
      <c r="AM1288" s="326"/>
      <c r="AN1288" s="326"/>
    </row>
    <row r="1289" spans="1:40" x14ac:dyDescent="0.15">
      <c r="A1289" s="327"/>
      <c r="B1289" s="320"/>
      <c r="C1289" s="320"/>
      <c r="D1289" s="320"/>
      <c r="E1289" s="320"/>
      <c r="F1289" s="320"/>
      <c r="G1289" s="320"/>
      <c r="H1289" s="320"/>
      <c r="I1289" s="320"/>
      <c r="J1289" s="320"/>
      <c r="K1289" s="320"/>
      <c r="L1289" s="320"/>
      <c r="M1289" s="320"/>
      <c r="N1289" s="320"/>
      <c r="O1289" s="321"/>
      <c r="P1289" s="321"/>
      <c r="Y1289" s="326"/>
      <c r="Z1289" s="326"/>
      <c r="AA1289" s="326"/>
      <c r="AB1289" s="326"/>
      <c r="AC1289" s="326"/>
      <c r="AD1289" s="326"/>
      <c r="AG1289" s="326"/>
      <c r="AH1289" s="326"/>
      <c r="AI1289" s="326"/>
      <c r="AL1289" s="326"/>
      <c r="AM1289" s="326"/>
      <c r="AN1289" s="326"/>
    </row>
    <row r="1290" spans="1:40" x14ac:dyDescent="0.15">
      <c r="A1290" s="327"/>
      <c r="B1290" s="320"/>
      <c r="C1290" s="320"/>
      <c r="D1290" s="320"/>
      <c r="E1290" s="320"/>
      <c r="F1290" s="320"/>
      <c r="G1290" s="320"/>
      <c r="H1290" s="320"/>
      <c r="I1290" s="320"/>
      <c r="J1290" s="320"/>
      <c r="K1290" s="320"/>
      <c r="L1290" s="320"/>
      <c r="M1290" s="320"/>
      <c r="N1290" s="320"/>
      <c r="O1290" s="321"/>
      <c r="P1290" s="321"/>
      <c r="Y1290" s="326"/>
      <c r="Z1290" s="326"/>
      <c r="AA1290" s="326"/>
      <c r="AB1290" s="326"/>
      <c r="AC1290" s="326"/>
      <c r="AD1290" s="326"/>
      <c r="AG1290" s="326"/>
      <c r="AH1290" s="326"/>
      <c r="AI1290" s="326"/>
      <c r="AL1290" s="326"/>
      <c r="AM1290" s="326"/>
      <c r="AN1290" s="326"/>
    </row>
    <row r="1291" spans="1:40" x14ac:dyDescent="0.15">
      <c r="A1291" s="327"/>
      <c r="B1291" s="320"/>
      <c r="C1291" s="320"/>
      <c r="D1291" s="320"/>
      <c r="E1291" s="320"/>
      <c r="F1291" s="320"/>
      <c r="G1291" s="320"/>
      <c r="H1291" s="320"/>
      <c r="I1291" s="320"/>
      <c r="J1291" s="320"/>
      <c r="K1291" s="320"/>
      <c r="L1291" s="320"/>
      <c r="M1291" s="320"/>
      <c r="N1291" s="320"/>
      <c r="O1291" s="321"/>
      <c r="P1291" s="321"/>
      <c r="Y1291" s="326"/>
      <c r="Z1291" s="326"/>
      <c r="AA1291" s="326"/>
      <c r="AB1291" s="326"/>
      <c r="AC1291" s="326"/>
      <c r="AD1291" s="326"/>
      <c r="AG1291" s="326"/>
      <c r="AH1291" s="326"/>
      <c r="AI1291" s="326"/>
      <c r="AL1291" s="326"/>
      <c r="AM1291" s="326"/>
      <c r="AN1291" s="326"/>
    </row>
    <row r="1292" spans="1:40" x14ac:dyDescent="0.15">
      <c r="A1292" s="327"/>
      <c r="B1292" s="320"/>
      <c r="C1292" s="320"/>
      <c r="D1292" s="320"/>
      <c r="E1292" s="320"/>
      <c r="F1292" s="320"/>
      <c r="G1292" s="320"/>
      <c r="H1292" s="320"/>
      <c r="I1292" s="320"/>
      <c r="J1292" s="320"/>
      <c r="K1292" s="320"/>
      <c r="L1292" s="320"/>
      <c r="M1292" s="320"/>
      <c r="N1292" s="320"/>
      <c r="O1292" s="321"/>
      <c r="P1292" s="321"/>
      <c r="Y1292" s="326"/>
      <c r="Z1292" s="326"/>
      <c r="AA1292" s="326"/>
      <c r="AB1292" s="326"/>
      <c r="AC1292" s="326"/>
      <c r="AD1292" s="326"/>
      <c r="AG1292" s="326"/>
      <c r="AH1292" s="326"/>
      <c r="AI1292" s="326"/>
      <c r="AL1292" s="326"/>
      <c r="AM1292" s="326"/>
      <c r="AN1292" s="326"/>
    </row>
    <row r="1293" spans="1:40" x14ac:dyDescent="0.15">
      <c r="A1293" s="327"/>
      <c r="B1293" s="320"/>
      <c r="C1293" s="320"/>
      <c r="D1293" s="320"/>
      <c r="E1293" s="320"/>
      <c r="F1293" s="320"/>
      <c r="G1293" s="320"/>
      <c r="H1293" s="320"/>
      <c r="I1293" s="320"/>
      <c r="J1293" s="320"/>
      <c r="K1293" s="320"/>
      <c r="L1293" s="320"/>
      <c r="M1293" s="320"/>
      <c r="N1293" s="320"/>
      <c r="O1293" s="321"/>
      <c r="P1293" s="321"/>
      <c r="Y1293" s="326"/>
      <c r="Z1293" s="326"/>
      <c r="AA1293" s="326"/>
      <c r="AB1293" s="326"/>
      <c r="AC1293" s="326"/>
      <c r="AD1293" s="326"/>
      <c r="AG1293" s="326"/>
      <c r="AH1293" s="326"/>
      <c r="AI1293" s="326"/>
      <c r="AL1293" s="326"/>
      <c r="AM1293" s="326"/>
      <c r="AN1293" s="326"/>
    </row>
    <row r="1294" spans="1:40" x14ac:dyDescent="0.15">
      <c r="A1294" s="327"/>
      <c r="B1294" s="320"/>
      <c r="C1294" s="320"/>
      <c r="D1294" s="320"/>
      <c r="E1294" s="320"/>
      <c r="F1294" s="320"/>
      <c r="G1294" s="320"/>
      <c r="H1294" s="320"/>
      <c r="I1294" s="320"/>
      <c r="J1294" s="320"/>
      <c r="K1294" s="320"/>
      <c r="L1294" s="320"/>
      <c r="M1294" s="320"/>
      <c r="N1294" s="320"/>
      <c r="O1294" s="321"/>
      <c r="P1294" s="321"/>
      <c r="Y1294" s="326"/>
      <c r="Z1294" s="326"/>
      <c r="AA1294" s="326"/>
      <c r="AB1294" s="326"/>
      <c r="AC1294" s="326"/>
      <c r="AD1294" s="326"/>
      <c r="AG1294" s="326"/>
      <c r="AH1294" s="326"/>
      <c r="AI1294" s="326"/>
      <c r="AL1294" s="326"/>
      <c r="AM1294" s="326"/>
      <c r="AN1294" s="326"/>
    </row>
    <row r="1295" spans="1:40" x14ac:dyDescent="0.15">
      <c r="A1295" s="327"/>
      <c r="B1295" s="320"/>
      <c r="C1295" s="320"/>
      <c r="D1295" s="320"/>
      <c r="E1295" s="320"/>
      <c r="F1295" s="320"/>
      <c r="G1295" s="320"/>
      <c r="H1295" s="320"/>
      <c r="I1295" s="320"/>
      <c r="J1295" s="320"/>
      <c r="K1295" s="320"/>
      <c r="L1295" s="320"/>
      <c r="M1295" s="320"/>
      <c r="N1295" s="320"/>
      <c r="O1295" s="321"/>
      <c r="P1295" s="321"/>
      <c r="Y1295" s="326"/>
      <c r="Z1295" s="326"/>
      <c r="AA1295" s="326"/>
      <c r="AB1295" s="326"/>
      <c r="AC1295" s="326"/>
      <c r="AD1295" s="326"/>
      <c r="AG1295" s="326"/>
      <c r="AH1295" s="326"/>
      <c r="AI1295" s="326"/>
      <c r="AL1295" s="326"/>
      <c r="AM1295" s="326"/>
      <c r="AN1295" s="326"/>
    </row>
    <row r="1296" spans="1:40" x14ac:dyDescent="0.15">
      <c r="A1296" s="327"/>
      <c r="B1296" s="320"/>
      <c r="C1296" s="320"/>
      <c r="D1296" s="320"/>
      <c r="E1296" s="320"/>
      <c r="F1296" s="320"/>
      <c r="G1296" s="320"/>
      <c r="H1296" s="320"/>
      <c r="I1296" s="320"/>
      <c r="J1296" s="320"/>
      <c r="K1296" s="320"/>
      <c r="L1296" s="320"/>
      <c r="M1296" s="320"/>
      <c r="N1296" s="320"/>
      <c r="O1296" s="321"/>
      <c r="P1296" s="321"/>
      <c r="Y1296" s="326"/>
      <c r="Z1296" s="326"/>
      <c r="AA1296" s="326"/>
      <c r="AB1296" s="326"/>
      <c r="AC1296" s="326"/>
      <c r="AD1296" s="326"/>
      <c r="AG1296" s="326"/>
      <c r="AH1296" s="326"/>
      <c r="AI1296" s="326"/>
      <c r="AL1296" s="326"/>
      <c r="AM1296" s="326"/>
      <c r="AN1296" s="326"/>
    </row>
    <row r="1297" spans="1:40" x14ac:dyDescent="0.15">
      <c r="A1297" s="327"/>
      <c r="B1297" s="320"/>
      <c r="C1297" s="320"/>
      <c r="D1297" s="320"/>
      <c r="E1297" s="320"/>
      <c r="F1297" s="320"/>
      <c r="G1297" s="320"/>
      <c r="H1297" s="320"/>
      <c r="I1297" s="320"/>
      <c r="J1297" s="320"/>
      <c r="K1297" s="320"/>
      <c r="L1297" s="320"/>
      <c r="M1297" s="320"/>
      <c r="N1297" s="320"/>
      <c r="O1297" s="321"/>
      <c r="P1297" s="321"/>
      <c r="Y1297" s="326"/>
      <c r="Z1297" s="326"/>
      <c r="AA1297" s="326"/>
      <c r="AB1297" s="326"/>
      <c r="AC1297" s="326"/>
      <c r="AD1297" s="326"/>
      <c r="AG1297" s="326"/>
      <c r="AH1297" s="326"/>
      <c r="AI1297" s="326"/>
      <c r="AL1297" s="326"/>
      <c r="AM1297" s="326"/>
      <c r="AN1297" s="326"/>
    </row>
    <row r="1298" spans="1:40" x14ac:dyDescent="0.15">
      <c r="A1298" s="327"/>
      <c r="B1298" s="320"/>
      <c r="C1298" s="320"/>
      <c r="D1298" s="320"/>
      <c r="E1298" s="320"/>
      <c r="F1298" s="320"/>
      <c r="G1298" s="320"/>
      <c r="H1298" s="320"/>
      <c r="I1298" s="320"/>
      <c r="J1298" s="320"/>
      <c r="K1298" s="320"/>
      <c r="L1298" s="320"/>
      <c r="M1298" s="320"/>
      <c r="N1298" s="320"/>
      <c r="O1298" s="321"/>
      <c r="P1298" s="321"/>
      <c r="Y1298" s="326"/>
      <c r="Z1298" s="326"/>
      <c r="AA1298" s="326"/>
      <c r="AB1298" s="326"/>
      <c r="AC1298" s="326"/>
      <c r="AD1298" s="326"/>
      <c r="AG1298" s="326"/>
      <c r="AH1298" s="326"/>
      <c r="AI1298" s="326"/>
      <c r="AL1298" s="326"/>
      <c r="AM1298" s="326"/>
      <c r="AN1298" s="326"/>
    </row>
    <row r="1299" spans="1:40" x14ac:dyDescent="0.15">
      <c r="A1299" s="327"/>
      <c r="B1299" s="320"/>
      <c r="C1299" s="320"/>
      <c r="D1299" s="320"/>
      <c r="E1299" s="320"/>
      <c r="F1299" s="320"/>
      <c r="G1299" s="320"/>
      <c r="H1299" s="320"/>
      <c r="I1299" s="320"/>
      <c r="J1299" s="320"/>
      <c r="K1299" s="320"/>
      <c r="L1299" s="320"/>
      <c r="M1299" s="320"/>
      <c r="N1299" s="320"/>
      <c r="O1299" s="321"/>
      <c r="P1299" s="321"/>
      <c r="Y1299" s="326"/>
      <c r="Z1299" s="326"/>
      <c r="AA1299" s="326"/>
      <c r="AB1299" s="326"/>
      <c r="AC1299" s="326"/>
      <c r="AD1299" s="326"/>
      <c r="AG1299" s="326"/>
      <c r="AH1299" s="326"/>
      <c r="AI1299" s="326"/>
      <c r="AL1299" s="326"/>
      <c r="AM1299" s="326"/>
      <c r="AN1299" s="326"/>
    </row>
    <row r="1300" spans="1:40" x14ac:dyDescent="0.15">
      <c r="A1300" s="327"/>
      <c r="B1300" s="320"/>
      <c r="C1300" s="320"/>
      <c r="D1300" s="320"/>
      <c r="E1300" s="320"/>
      <c r="F1300" s="320"/>
      <c r="G1300" s="320"/>
      <c r="H1300" s="320"/>
      <c r="I1300" s="320"/>
      <c r="J1300" s="320"/>
      <c r="K1300" s="320"/>
      <c r="L1300" s="320"/>
      <c r="M1300" s="320"/>
      <c r="N1300" s="320"/>
      <c r="O1300" s="321"/>
      <c r="P1300" s="321"/>
      <c r="Y1300" s="326"/>
      <c r="Z1300" s="326"/>
      <c r="AA1300" s="326"/>
      <c r="AB1300" s="326"/>
      <c r="AC1300" s="326"/>
      <c r="AD1300" s="326"/>
      <c r="AG1300" s="326"/>
      <c r="AH1300" s="326"/>
      <c r="AI1300" s="326"/>
      <c r="AL1300" s="326"/>
      <c r="AM1300" s="326"/>
      <c r="AN1300" s="326"/>
    </row>
    <row r="1301" spans="1:40" x14ac:dyDescent="0.15">
      <c r="A1301" s="327"/>
      <c r="B1301" s="320"/>
      <c r="C1301" s="320"/>
      <c r="D1301" s="320"/>
      <c r="E1301" s="320"/>
      <c r="F1301" s="320"/>
      <c r="G1301" s="320"/>
      <c r="H1301" s="320"/>
      <c r="I1301" s="320"/>
      <c r="J1301" s="320"/>
      <c r="K1301" s="320"/>
      <c r="L1301" s="320"/>
      <c r="M1301" s="320"/>
      <c r="N1301" s="320"/>
      <c r="O1301" s="321"/>
      <c r="P1301" s="321"/>
      <c r="Y1301" s="326"/>
      <c r="Z1301" s="326"/>
      <c r="AA1301" s="326"/>
      <c r="AB1301" s="326"/>
      <c r="AC1301" s="326"/>
      <c r="AD1301" s="326"/>
      <c r="AG1301" s="326"/>
      <c r="AH1301" s="326"/>
      <c r="AI1301" s="326"/>
      <c r="AL1301" s="326"/>
      <c r="AM1301" s="326"/>
      <c r="AN1301" s="326"/>
    </row>
    <row r="1302" spans="1:40" x14ac:dyDescent="0.15">
      <c r="A1302" s="327"/>
      <c r="B1302" s="320"/>
      <c r="C1302" s="320"/>
      <c r="D1302" s="320"/>
      <c r="E1302" s="320"/>
      <c r="F1302" s="320"/>
      <c r="G1302" s="320"/>
      <c r="H1302" s="320"/>
      <c r="I1302" s="320"/>
      <c r="J1302" s="320"/>
      <c r="K1302" s="320"/>
      <c r="L1302" s="320"/>
      <c r="M1302" s="320"/>
      <c r="N1302" s="320"/>
      <c r="O1302" s="321"/>
      <c r="P1302" s="321"/>
      <c r="Y1302" s="326"/>
      <c r="Z1302" s="326"/>
      <c r="AA1302" s="326"/>
      <c r="AB1302" s="326"/>
      <c r="AC1302" s="326"/>
      <c r="AD1302" s="326"/>
      <c r="AG1302" s="326"/>
      <c r="AH1302" s="326"/>
      <c r="AI1302" s="326"/>
      <c r="AL1302" s="326"/>
      <c r="AM1302" s="326"/>
      <c r="AN1302" s="326"/>
    </row>
    <row r="1303" spans="1:40" x14ac:dyDescent="0.15">
      <c r="A1303" s="327"/>
      <c r="B1303" s="320"/>
      <c r="C1303" s="320"/>
      <c r="D1303" s="320"/>
      <c r="E1303" s="320"/>
      <c r="F1303" s="320"/>
      <c r="G1303" s="320"/>
      <c r="H1303" s="320"/>
      <c r="I1303" s="320"/>
      <c r="J1303" s="320"/>
      <c r="K1303" s="320"/>
      <c r="L1303" s="320"/>
      <c r="M1303" s="320"/>
      <c r="N1303" s="320"/>
      <c r="O1303" s="321"/>
      <c r="P1303" s="321"/>
      <c r="Y1303" s="326"/>
      <c r="Z1303" s="326"/>
      <c r="AA1303" s="326"/>
      <c r="AB1303" s="326"/>
      <c r="AC1303" s="326"/>
      <c r="AD1303" s="326"/>
      <c r="AG1303" s="326"/>
      <c r="AH1303" s="326"/>
      <c r="AI1303" s="326"/>
      <c r="AL1303" s="326"/>
      <c r="AM1303" s="326"/>
      <c r="AN1303" s="326"/>
    </row>
    <row r="1304" spans="1:40" x14ac:dyDescent="0.15">
      <c r="A1304" s="327"/>
      <c r="B1304" s="320"/>
      <c r="C1304" s="320"/>
      <c r="D1304" s="320"/>
      <c r="E1304" s="320"/>
      <c r="F1304" s="320"/>
      <c r="G1304" s="320"/>
      <c r="H1304" s="320"/>
      <c r="I1304" s="320"/>
      <c r="J1304" s="320"/>
      <c r="K1304" s="320"/>
      <c r="L1304" s="320"/>
      <c r="M1304" s="320"/>
      <c r="N1304" s="320"/>
      <c r="O1304" s="321"/>
      <c r="P1304" s="321"/>
      <c r="Y1304" s="326"/>
      <c r="Z1304" s="326"/>
      <c r="AA1304" s="326"/>
      <c r="AB1304" s="326"/>
      <c r="AC1304" s="326"/>
      <c r="AD1304" s="326"/>
      <c r="AG1304" s="326"/>
      <c r="AH1304" s="326"/>
      <c r="AI1304" s="326"/>
      <c r="AL1304" s="326"/>
      <c r="AM1304" s="326"/>
      <c r="AN1304" s="326"/>
    </row>
    <row r="1305" spans="1:40" x14ac:dyDescent="0.15">
      <c r="A1305" s="327"/>
      <c r="B1305" s="320"/>
      <c r="C1305" s="320"/>
      <c r="D1305" s="320"/>
      <c r="E1305" s="320"/>
      <c r="F1305" s="320"/>
      <c r="G1305" s="320"/>
      <c r="H1305" s="320"/>
      <c r="I1305" s="320"/>
      <c r="J1305" s="320"/>
      <c r="K1305" s="320"/>
      <c r="L1305" s="320"/>
      <c r="M1305" s="320"/>
      <c r="N1305" s="320"/>
      <c r="O1305" s="321"/>
      <c r="P1305" s="321"/>
      <c r="Y1305" s="326"/>
      <c r="Z1305" s="326"/>
      <c r="AA1305" s="326"/>
      <c r="AB1305" s="326"/>
      <c r="AC1305" s="326"/>
      <c r="AD1305" s="326"/>
      <c r="AG1305" s="326"/>
      <c r="AH1305" s="326"/>
      <c r="AI1305" s="326"/>
      <c r="AL1305" s="326"/>
      <c r="AM1305" s="326"/>
      <c r="AN1305" s="326"/>
    </row>
    <row r="1306" spans="1:40" x14ac:dyDescent="0.15">
      <c r="A1306" s="327"/>
      <c r="B1306" s="320"/>
      <c r="C1306" s="320"/>
      <c r="D1306" s="320"/>
      <c r="E1306" s="320"/>
      <c r="F1306" s="320"/>
      <c r="G1306" s="320"/>
      <c r="H1306" s="320"/>
      <c r="I1306" s="320"/>
      <c r="J1306" s="320"/>
      <c r="K1306" s="320"/>
      <c r="L1306" s="320"/>
      <c r="M1306" s="320"/>
      <c r="N1306" s="320"/>
      <c r="O1306" s="321"/>
      <c r="P1306" s="321"/>
      <c r="Y1306" s="326"/>
      <c r="Z1306" s="326"/>
      <c r="AA1306" s="326"/>
      <c r="AB1306" s="326"/>
      <c r="AC1306" s="326"/>
      <c r="AD1306" s="326"/>
      <c r="AG1306" s="326"/>
      <c r="AH1306" s="326"/>
      <c r="AI1306" s="326"/>
      <c r="AL1306" s="326"/>
      <c r="AM1306" s="326"/>
      <c r="AN1306" s="326"/>
    </row>
    <row r="1307" spans="1:40" x14ac:dyDescent="0.15">
      <c r="A1307" s="327"/>
      <c r="B1307" s="320"/>
      <c r="C1307" s="320"/>
      <c r="D1307" s="320"/>
      <c r="E1307" s="320"/>
      <c r="F1307" s="320"/>
      <c r="G1307" s="320"/>
      <c r="H1307" s="320"/>
      <c r="I1307" s="320"/>
      <c r="J1307" s="320"/>
      <c r="K1307" s="320"/>
      <c r="L1307" s="320"/>
      <c r="M1307" s="320"/>
      <c r="N1307" s="320"/>
      <c r="O1307" s="321"/>
      <c r="P1307" s="321"/>
      <c r="Y1307" s="326"/>
      <c r="Z1307" s="326"/>
      <c r="AA1307" s="326"/>
      <c r="AB1307" s="326"/>
      <c r="AC1307" s="326"/>
      <c r="AD1307" s="326"/>
      <c r="AG1307" s="326"/>
      <c r="AH1307" s="326"/>
      <c r="AI1307" s="326"/>
      <c r="AL1307" s="326"/>
      <c r="AM1307" s="326"/>
      <c r="AN1307" s="326"/>
    </row>
    <row r="1308" spans="1:40" x14ac:dyDescent="0.15">
      <c r="A1308" s="327"/>
      <c r="B1308" s="320"/>
      <c r="C1308" s="320"/>
      <c r="D1308" s="320"/>
      <c r="E1308" s="320"/>
      <c r="F1308" s="320"/>
      <c r="G1308" s="320"/>
      <c r="H1308" s="320"/>
      <c r="I1308" s="320"/>
      <c r="J1308" s="320"/>
      <c r="K1308" s="320"/>
      <c r="L1308" s="320"/>
      <c r="M1308" s="320"/>
      <c r="N1308" s="320"/>
      <c r="O1308" s="321"/>
      <c r="P1308" s="321"/>
      <c r="Y1308" s="326"/>
      <c r="Z1308" s="326"/>
      <c r="AA1308" s="326"/>
      <c r="AB1308" s="326"/>
      <c r="AC1308" s="326"/>
      <c r="AD1308" s="326"/>
      <c r="AG1308" s="326"/>
      <c r="AH1308" s="326"/>
      <c r="AI1308" s="326"/>
      <c r="AL1308" s="326"/>
      <c r="AM1308" s="326"/>
      <c r="AN1308" s="326"/>
    </row>
    <row r="1309" spans="1:40" x14ac:dyDescent="0.15">
      <c r="A1309" s="327"/>
      <c r="B1309" s="320"/>
      <c r="C1309" s="320"/>
      <c r="D1309" s="320"/>
      <c r="E1309" s="320"/>
      <c r="F1309" s="320"/>
      <c r="G1309" s="320"/>
      <c r="H1309" s="320"/>
      <c r="I1309" s="320"/>
      <c r="J1309" s="320"/>
      <c r="K1309" s="320"/>
      <c r="L1309" s="320"/>
      <c r="M1309" s="320"/>
      <c r="N1309" s="320"/>
      <c r="O1309" s="321"/>
      <c r="P1309" s="321"/>
      <c r="Y1309" s="326"/>
      <c r="Z1309" s="326"/>
      <c r="AA1309" s="326"/>
      <c r="AB1309" s="326"/>
      <c r="AC1309" s="326"/>
      <c r="AD1309" s="326"/>
      <c r="AG1309" s="326"/>
      <c r="AH1309" s="326"/>
      <c r="AI1309" s="326"/>
      <c r="AL1309" s="326"/>
      <c r="AM1309" s="326"/>
      <c r="AN1309" s="326"/>
    </row>
    <row r="1310" spans="1:40" x14ac:dyDescent="0.15">
      <c r="A1310" s="327"/>
      <c r="B1310" s="320"/>
      <c r="C1310" s="320"/>
      <c r="D1310" s="320"/>
      <c r="E1310" s="320"/>
      <c r="F1310" s="320"/>
      <c r="G1310" s="320"/>
      <c r="H1310" s="320"/>
      <c r="I1310" s="320"/>
      <c r="J1310" s="320"/>
      <c r="K1310" s="320"/>
      <c r="L1310" s="320"/>
      <c r="M1310" s="320"/>
      <c r="N1310" s="320"/>
      <c r="O1310" s="321"/>
      <c r="P1310" s="321"/>
      <c r="Y1310" s="326"/>
      <c r="Z1310" s="326"/>
      <c r="AA1310" s="326"/>
      <c r="AB1310" s="326"/>
      <c r="AC1310" s="326"/>
      <c r="AD1310" s="326"/>
      <c r="AG1310" s="326"/>
      <c r="AH1310" s="326"/>
      <c r="AI1310" s="326"/>
      <c r="AL1310" s="326"/>
      <c r="AM1310" s="326"/>
      <c r="AN1310" s="326"/>
    </row>
    <row r="1311" spans="1:40" x14ac:dyDescent="0.15">
      <c r="A1311" s="327"/>
      <c r="B1311" s="320"/>
      <c r="C1311" s="320"/>
      <c r="D1311" s="320"/>
      <c r="E1311" s="320"/>
      <c r="F1311" s="320"/>
      <c r="G1311" s="320"/>
      <c r="H1311" s="320"/>
      <c r="I1311" s="320"/>
      <c r="J1311" s="320"/>
      <c r="K1311" s="320"/>
      <c r="L1311" s="320"/>
      <c r="M1311" s="320"/>
      <c r="N1311" s="320"/>
      <c r="O1311" s="321"/>
      <c r="P1311" s="321"/>
      <c r="Y1311" s="326"/>
      <c r="Z1311" s="326"/>
      <c r="AA1311" s="326"/>
      <c r="AB1311" s="326"/>
      <c r="AC1311" s="326"/>
      <c r="AD1311" s="326"/>
      <c r="AG1311" s="326"/>
      <c r="AH1311" s="326"/>
      <c r="AI1311" s="326"/>
      <c r="AL1311" s="326"/>
      <c r="AM1311" s="326"/>
      <c r="AN1311" s="326"/>
    </row>
    <row r="1312" spans="1:40" x14ac:dyDescent="0.15">
      <c r="A1312" s="327"/>
      <c r="B1312" s="320"/>
      <c r="C1312" s="320"/>
      <c r="D1312" s="320"/>
      <c r="E1312" s="320"/>
      <c r="F1312" s="320"/>
      <c r="G1312" s="320"/>
      <c r="H1312" s="320"/>
      <c r="I1312" s="320"/>
      <c r="J1312" s="320"/>
      <c r="K1312" s="320"/>
      <c r="L1312" s="320"/>
      <c r="M1312" s="320"/>
      <c r="N1312" s="320"/>
      <c r="O1312" s="321"/>
      <c r="P1312" s="321"/>
      <c r="Y1312" s="326"/>
      <c r="Z1312" s="326"/>
      <c r="AA1312" s="326"/>
      <c r="AB1312" s="326"/>
      <c r="AC1312" s="326"/>
      <c r="AD1312" s="326"/>
      <c r="AG1312" s="326"/>
      <c r="AH1312" s="326"/>
      <c r="AI1312" s="326"/>
      <c r="AL1312" s="326"/>
      <c r="AM1312" s="326"/>
      <c r="AN1312" s="326"/>
    </row>
    <row r="1313" spans="1:40" x14ac:dyDescent="0.15">
      <c r="A1313" s="327"/>
      <c r="B1313" s="320"/>
      <c r="C1313" s="320"/>
      <c r="D1313" s="320"/>
      <c r="E1313" s="320"/>
      <c r="F1313" s="320"/>
      <c r="G1313" s="320"/>
      <c r="H1313" s="320"/>
      <c r="I1313" s="320"/>
      <c r="J1313" s="320"/>
      <c r="K1313" s="320"/>
      <c r="L1313" s="320"/>
      <c r="M1313" s="320"/>
      <c r="N1313" s="320"/>
      <c r="O1313" s="321"/>
      <c r="P1313" s="321"/>
      <c r="Y1313" s="326"/>
      <c r="Z1313" s="326"/>
      <c r="AA1313" s="326"/>
      <c r="AB1313" s="326"/>
      <c r="AC1313" s="326"/>
      <c r="AD1313" s="326"/>
      <c r="AG1313" s="326"/>
      <c r="AH1313" s="326"/>
      <c r="AI1313" s="326"/>
      <c r="AL1313" s="326"/>
      <c r="AM1313" s="326"/>
      <c r="AN1313" s="326"/>
    </row>
    <row r="1314" spans="1:40" x14ac:dyDescent="0.15">
      <c r="A1314" s="327"/>
      <c r="B1314" s="320"/>
      <c r="C1314" s="320"/>
      <c r="D1314" s="320"/>
      <c r="E1314" s="320"/>
      <c r="F1314" s="320"/>
      <c r="G1314" s="320"/>
      <c r="H1314" s="320"/>
      <c r="I1314" s="320"/>
      <c r="J1314" s="320"/>
      <c r="K1314" s="320"/>
      <c r="L1314" s="320"/>
      <c r="M1314" s="320"/>
      <c r="N1314" s="320"/>
      <c r="O1314" s="321"/>
      <c r="P1314" s="321"/>
      <c r="Y1314" s="326"/>
      <c r="Z1314" s="326"/>
      <c r="AA1314" s="326"/>
      <c r="AB1314" s="326"/>
      <c r="AC1314" s="326"/>
      <c r="AD1314" s="326"/>
      <c r="AG1314" s="326"/>
      <c r="AH1314" s="326"/>
      <c r="AI1314" s="326"/>
      <c r="AL1314" s="326"/>
      <c r="AM1314" s="326"/>
      <c r="AN1314" s="326"/>
    </row>
    <row r="1315" spans="1:40" x14ac:dyDescent="0.15">
      <c r="A1315" s="327"/>
      <c r="B1315" s="320"/>
      <c r="C1315" s="320"/>
      <c r="D1315" s="320"/>
      <c r="E1315" s="320"/>
      <c r="F1315" s="320"/>
      <c r="G1315" s="320"/>
      <c r="H1315" s="320"/>
      <c r="I1315" s="320"/>
      <c r="J1315" s="320"/>
      <c r="K1315" s="320"/>
      <c r="L1315" s="320"/>
      <c r="M1315" s="320"/>
      <c r="N1315" s="320"/>
      <c r="O1315" s="321"/>
      <c r="P1315" s="321"/>
      <c r="Y1315" s="326"/>
      <c r="Z1315" s="326"/>
      <c r="AA1315" s="326"/>
      <c r="AB1315" s="326"/>
      <c r="AC1315" s="326"/>
      <c r="AD1315" s="326"/>
      <c r="AG1315" s="326"/>
      <c r="AH1315" s="326"/>
      <c r="AI1315" s="326"/>
      <c r="AL1315" s="326"/>
      <c r="AM1315" s="326"/>
      <c r="AN1315" s="326"/>
    </row>
    <row r="1316" spans="1:40" x14ac:dyDescent="0.15">
      <c r="A1316" s="327"/>
      <c r="B1316" s="320"/>
      <c r="C1316" s="320"/>
      <c r="D1316" s="320"/>
      <c r="E1316" s="320"/>
      <c r="F1316" s="320"/>
      <c r="G1316" s="320"/>
      <c r="H1316" s="320"/>
      <c r="I1316" s="320"/>
      <c r="J1316" s="320"/>
      <c r="K1316" s="320"/>
      <c r="L1316" s="320"/>
      <c r="M1316" s="320"/>
      <c r="N1316" s="320"/>
      <c r="O1316" s="321"/>
      <c r="P1316" s="321"/>
      <c r="Y1316" s="326"/>
      <c r="Z1316" s="326"/>
      <c r="AA1316" s="326"/>
      <c r="AB1316" s="326"/>
      <c r="AC1316" s="326"/>
      <c r="AD1316" s="326"/>
      <c r="AG1316" s="326"/>
      <c r="AH1316" s="326"/>
      <c r="AI1316" s="326"/>
      <c r="AL1316" s="326"/>
      <c r="AM1316" s="326"/>
      <c r="AN1316" s="326"/>
    </row>
    <row r="1317" spans="1:40" x14ac:dyDescent="0.15">
      <c r="A1317" s="327"/>
      <c r="B1317" s="320"/>
      <c r="C1317" s="320"/>
      <c r="D1317" s="320"/>
      <c r="E1317" s="320"/>
      <c r="F1317" s="320"/>
      <c r="G1317" s="320"/>
      <c r="H1317" s="320"/>
      <c r="I1317" s="320"/>
      <c r="J1317" s="320"/>
      <c r="K1317" s="320"/>
      <c r="L1317" s="320"/>
      <c r="M1317" s="320"/>
      <c r="N1317" s="320"/>
      <c r="O1317" s="321"/>
      <c r="P1317" s="321"/>
      <c r="Y1317" s="326"/>
      <c r="Z1317" s="326"/>
      <c r="AA1317" s="326"/>
      <c r="AB1317" s="326"/>
      <c r="AC1317" s="326"/>
      <c r="AD1317" s="326"/>
      <c r="AG1317" s="326"/>
      <c r="AH1317" s="326"/>
      <c r="AI1317" s="326"/>
      <c r="AL1317" s="326"/>
      <c r="AM1317" s="326"/>
      <c r="AN1317" s="326"/>
    </row>
    <row r="1318" spans="1:40" x14ac:dyDescent="0.15">
      <c r="A1318" s="327"/>
      <c r="B1318" s="320"/>
      <c r="C1318" s="320"/>
      <c r="D1318" s="320"/>
      <c r="E1318" s="320"/>
      <c r="F1318" s="320"/>
      <c r="G1318" s="320"/>
      <c r="H1318" s="320"/>
      <c r="I1318" s="320"/>
      <c r="J1318" s="320"/>
      <c r="K1318" s="320"/>
      <c r="L1318" s="320"/>
      <c r="M1318" s="320"/>
      <c r="N1318" s="320"/>
      <c r="O1318" s="321"/>
      <c r="P1318" s="321"/>
      <c r="Y1318" s="326"/>
      <c r="Z1318" s="326"/>
      <c r="AA1318" s="326"/>
      <c r="AB1318" s="326"/>
      <c r="AC1318" s="326"/>
      <c r="AD1318" s="326"/>
      <c r="AG1318" s="326"/>
      <c r="AH1318" s="326"/>
      <c r="AI1318" s="326"/>
      <c r="AL1318" s="326"/>
      <c r="AM1318" s="326"/>
      <c r="AN1318" s="326"/>
    </row>
    <row r="1319" spans="1:40" x14ac:dyDescent="0.15">
      <c r="A1319" s="327"/>
      <c r="B1319" s="320"/>
      <c r="C1319" s="320"/>
      <c r="D1319" s="320"/>
      <c r="E1319" s="320"/>
      <c r="F1319" s="320"/>
      <c r="G1319" s="320"/>
      <c r="H1319" s="320"/>
      <c r="I1319" s="320"/>
      <c r="J1319" s="320"/>
      <c r="K1319" s="320"/>
      <c r="L1319" s="320"/>
      <c r="M1319" s="320"/>
      <c r="N1319" s="320"/>
      <c r="O1319" s="321"/>
      <c r="P1319" s="321"/>
      <c r="Y1319" s="326"/>
      <c r="Z1319" s="326"/>
      <c r="AA1319" s="326"/>
      <c r="AB1319" s="326"/>
      <c r="AC1319" s="326"/>
      <c r="AD1319" s="326"/>
      <c r="AG1319" s="326"/>
      <c r="AH1319" s="326"/>
      <c r="AI1319" s="326"/>
      <c r="AL1319" s="326"/>
      <c r="AM1319" s="326"/>
      <c r="AN1319" s="326"/>
    </row>
    <row r="1320" spans="1:40" x14ac:dyDescent="0.15">
      <c r="A1320" s="327"/>
      <c r="B1320" s="320"/>
      <c r="C1320" s="320"/>
      <c r="D1320" s="320"/>
      <c r="E1320" s="320"/>
      <c r="F1320" s="320"/>
      <c r="G1320" s="320"/>
      <c r="H1320" s="320"/>
      <c r="I1320" s="320"/>
      <c r="J1320" s="320"/>
      <c r="K1320" s="320"/>
      <c r="L1320" s="320"/>
      <c r="M1320" s="320"/>
      <c r="N1320" s="320"/>
      <c r="O1320" s="321"/>
      <c r="P1320" s="321"/>
      <c r="Y1320" s="326"/>
      <c r="Z1320" s="326"/>
      <c r="AA1320" s="326"/>
      <c r="AB1320" s="326"/>
      <c r="AC1320" s="326"/>
      <c r="AD1320" s="326"/>
      <c r="AG1320" s="326"/>
      <c r="AH1320" s="326"/>
      <c r="AI1320" s="326"/>
      <c r="AL1320" s="326"/>
      <c r="AM1320" s="326"/>
      <c r="AN1320" s="326"/>
    </row>
    <row r="1321" spans="1:40" x14ac:dyDescent="0.15">
      <c r="A1321" s="327"/>
      <c r="B1321" s="320"/>
      <c r="C1321" s="320"/>
      <c r="D1321" s="320"/>
      <c r="E1321" s="320"/>
      <c r="F1321" s="320"/>
      <c r="G1321" s="320"/>
      <c r="H1321" s="320"/>
      <c r="I1321" s="320"/>
      <c r="J1321" s="320"/>
      <c r="K1321" s="320"/>
      <c r="L1321" s="320"/>
      <c r="M1321" s="320"/>
      <c r="N1321" s="320"/>
      <c r="O1321" s="321"/>
      <c r="P1321" s="321"/>
      <c r="Y1321" s="326"/>
      <c r="Z1321" s="326"/>
      <c r="AA1321" s="326"/>
      <c r="AB1321" s="326"/>
      <c r="AC1321" s="326"/>
      <c r="AD1321" s="326"/>
      <c r="AG1321" s="326"/>
      <c r="AH1321" s="326"/>
      <c r="AI1321" s="326"/>
      <c r="AL1321" s="326"/>
      <c r="AM1321" s="326"/>
      <c r="AN1321" s="326"/>
    </row>
    <row r="1322" spans="1:40" x14ac:dyDescent="0.15">
      <c r="A1322" s="327"/>
      <c r="B1322" s="320"/>
      <c r="C1322" s="320"/>
      <c r="D1322" s="320"/>
      <c r="E1322" s="320"/>
      <c r="F1322" s="320"/>
      <c r="G1322" s="320"/>
      <c r="H1322" s="320"/>
      <c r="I1322" s="320"/>
      <c r="J1322" s="320"/>
      <c r="K1322" s="320"/>
      <c r="L1322" s="320"/>
      <c r="M1322" s="320"/>
      <c r="N1322" s="320"/>
      <c r="O1322" s="321"/>
      <c r="P1322" s="321"/>
      <c r="Y1322" s="326"/>
      <c r="Z1322" s="326"/>
      <c r="AA1322" s="326"/>
      <c r="AB1322" s="326"/>
      <c r="AC1322" s="326"/>
      <c r="AD1322" s="326"/>
      <c r="AG1322" s="326"/>
      <c r="AH1322" s="326"/>
      <c r="AI1322" s="326"/>
      <c r="AL1322" s="326"/>
      <c r="AM1322" s="326"/>
      <c r="AN1322" s="326"/>
    </row>
    <row r="1323" spans="1:40" x14ac:dyDescent="0.15">
      <c r="A1323" s="327"/>
      <c r="B1323" s="320"/>
      <c r="C1323" s="320"/>
      <c r="D1323" s="320"/>
      <c r="E1323" s="320"/>
      <c r="F1323" s="320"/>
      <c r="G1323" s="320"/>
      <c r="H1323" s="320"/>
      <c r="I1323" s="320"/>
      <c r="J1323" s="320"/>
      <c r="K1323" s="320"/>
      <c r="L1323" s="320"/>
      <c r="M1323" s="320"/>
      <c r="N1323" s="320"/>
      <c r="O1323" s="321"/>
      <c r="P1323" s="321"/>
      <c r="Y1323" s="326"/>
      <c r="Z1323" s="326"/>
      <c r="AA1323" s="326"/>
      <c r="AB1323" s="326"/>
      <c r="AC1323" s="326"/>
      <c r="AD1323" s="326"/>
      <c r="AG1323" s="326"/>
      <c r="AH1323" s="326"/>
      <c r="AI1323" s="326"/>
      <c r="AL1323" s="326"/>
      <c r="AM1323" s="326"/>
      <c r="AN1323" s="326"/>
    </row>
    <row r="1324" spans="1:40" x14ac:dyDescent="0.15">
      <c r="A1324" s="327"/>
      <c r="B1324" s="320"/>
      <c r="C1324" s="320"/>
      <c r="D1324" s="320"/>
      <c r="E1324" s="320"/>
      <c r="F1324" s="320"/>
      <c r="G1324" s="320"/>
      <c r="H1324" s="320"/>
      <c r="I1324" s="320"/>
      <c r="J1324" s="320"/>
      <c r="K1324" s="320"/>
      <c r="L1324" s="320"/>
      <c r="M1324" s="320"/>
      <c r="N1324" s="320"/>
      <c r="O1324" s="321"/>
      <c r="P1324" s="321"/>
      <c r="Y1324" s="326"/>
      <c r="Z1324" s="326"/>
      <c r="AA1324" s="326"/>
      <c r="AB1324" s="326"/>
      <c r="AC1324" s="326"/>
      <c r="AD1324" s="326"/>
      <c r="AG1324" s="326"/>
      <c r="AH1324" s="326"/>
      <c r="AI1324" s="326"/>
      <c r="AL1324" s="326"/>
      <c r="AM1324" s="326"/>
      <c r="AN1324" s="326"/>
    </row>
    <row r="1325" spans="1:40" x14ac:dyDescent="0.15">
      <c r="A1325" s="327"/>
      <c r="B1325" s="320"/>
      <c r="C1325" s="320"/>
      <c r="D1325" s="320"/>
      <c r="E1325" s="320"/>
      <c r="F1325" s="320"/>
      <c r="G1325" s="320"/>
      <c r="H1325" s="320"/>
      <c r="I1325" s="320"/>
      <c r="J1325" s="320"/>
      <c r="K1325" s="320"/>
      <c r="L1325" s="320"/>
      <c r="M1325" s="320"/>
      <c r="N1325" s="320"/>
      <c r="O1325" s="321"/>
      <c r="P1325" s="321"/>
      <c r="Y1325" s="326"/>
      <c r="Z1325" s="326"/>
      <c r="AA1325" s="326"/>
      <c r="AB1325" s="326"/>
      <c r="AC1325" s="326"/>
      <c r="AD1325" s="326"/>
      <c r="AG1325" s="326"/>
      <c r="AH1325" s="326"/>
      <c r="AI1325" s="326"/>
      <c r="AL1325" s="326"/>
      <c r="AM1325" s="326"/>
      <c r="AN1325" s="326"/>
    </row>
    <row r="1326" spans="1:40" x14ac:dyDescent="0.15">
      <c r="A1326" s="327"/>
      <c r="B1326" s="320"/>
      <c r="C1326" s="320"/>
      <c r="D1326" s="320"/>
      <c r="E1326" s="320"/>
      <c r="F1326" s="320"/>
      <c r="G1326" s="320"/>
      <c r="H1326" s="320"/>
      <c r="I1326" s="320"/>
      <c r="J1326" s="320"/>
      <c r="K1326" s="320"/>
      <c r="L1326" s="320"/>
      <c r="M1326" s="320"/>
      <c r="N1326" s="320"/>
      <c r="O1326" s="321"/>
      <c r="P1326" s="321"/>
      <c r="Y1326" s="326"/>
      <c r="Z1326" s="326"/>
      <c r="AA1326" s="326"/>
      <c r="AB1326" s="326"/>
      <c r="AC1326" s="326"/>
      <c r="AD1326" s="326"/>
      <c r="AG1326" s="326"/>
      <c r="AH1326" s="326"/>
      <c r="AI1326" s="326"/>
      <c r="AL1326" s="326"/>
      <c r="AM1326" s="326"/>
      <c r="AN1326" s="326"/>
    </row>
    <row r="1327" spans="1:40" x14ac:dyDescent="0.15">
      <c r="A1327" s="327"/>
      <c r="B1327" s="320"/>
      <c r="C1327" s="320"/>
      <c r="D1327" s="320"/>
      <c r="E1327" s="320"/>
      <c r="F1327" s="320"/>
      <c r="G1327" s="320"/>
      <c r="H1327" s="320"/>
      <c r="I1327" s="320"/>
      <c r="J1327" s="320"/>
      <c r="K1327" s="320"/>
      <c r="L1327" s="320"/>
      <c r="M1327" s="320"/>
      <c r="N1327" s="320"/>
      <c r="O1327" s="321"/>
      <c r="P1327" s="321"/>
      <c r="Y1327" s="326"/>
      <c r="Z1327" s="326"/>
      <c r="AA1327" s="326"/>
      <c r="AB1327" s="326"/>
      <c r="AC1327" s="326"/>
      <c r="AD1327" s="326"/>
      <c r="AG1327" s="326"/>
      <c r="AH1327" s="326"/>
      <c r="AI1327" s="326"/>
      <c r="AL1327" s="326"/>
      <c r="AM1327" s="326"/>
      <c r="AN1327" s="326"/>
    </row>
    <row r="1328" spans="1:40" x14ac:dyDescent="0.15">
      <c r="A1328" s="327"/>
      <c r="B1328" s="320"/>
      <c r="C1328" s="320"/>
      <c r="D1328" s="320"/>
      <c r="E1328" s="320"/>
      <c r="F1328" s="320"/>
      <c r="G1328" s="320"/>
      <c r="H1328" s="320"/>
      <c r="I1328" s="320"/>
      <c r="J1328" s="320"/>
      <c r="K1328" s="320"/>
      <c r="L1328" s="320"/>
      <c r="M1328" s="320"/>
      <c r="N1328" s="320"/>
      <c r="O1328" s="321"/>
      <c r="P1328" s="321"/>
      <c r="Y1328" s="326"/>
      <c r="Z1328" s="326"/>
      <c r="AA1328" s="326"/>
      <c r="AB1328" s="326"/>
      <c r="AC1328" s="326"/>
      <c r="AD1328" s="326"/>
      <c r="AG1328" s="326"/>
      <c r="AH1328" s="326"/>
      <c r="AI1328" s="326"/>
      <c r="AL1328" s="326"/>
      <c r="AM1328" s="326"/>
      <c r="AN1328" s="326"/>
    </row>
    <row r="1329" spans="1:40" x14ac:dyDescent="0.15">
      <c r="A1329" s="327"/>
      <c r="B1329" s="320"/>
      <c r="C1329" s="320"/>
      <c r="D1329" s="320"/>
      <c r="E1329" s="320"/>
      <c r="F1329" s="320"/>
      <c r="G1329" s="320"/>
      <c r="H1329" s="320"/>
      <c r="I1329" s="320"/>
      <c r="J1329" s="320"/>
      <c r="K1329" s="320"/>
      <c r="L1329" s="320"/>
      <c r="M1329" s="320"/>
      <c r="N1329" s="320"/>
      <c r="O1329" s="321"/>
      <c r="P1329" s="321"/>
      <c r="Y1329" s="326"/>
      <c r="Z1329" s="326"/>
      <c r="AA1329" s="326"/>
      <c r="AB1329" s="326"/>
      <c r="AC1329" s="326"/>
      <c r="AD1329" s="326"/>
      <c r="AG1329" s="326"/>
      <c r="AH1329" s="326"/>
      <c r="AI1329" s="326"/>
      <c r="AL1329" s="326"/>
      <c r="AM1329" s="326"/>
      <c r="AN1329" s="326"/>
    </row>
    <row r="1330" spans="1:40" x14ac:dyDescent="0.15">
      <c r="A1330" s="327"/>
      <c r="B1330" s="320"/>
      <c r="C1330" s="320"/>
      <c r="D1330" s="320"/>
      <c r="E1330" s="320"/>
      <c r="F1330" s="320"/>
      <c r="G1330" s="320"/>
      <c r="H1330" s="320"/>
      <c r="I1330" s="320"/>
      <c r="J1330" s="320"/>
      <c r="K1330" s="320"/>
      <c r="L1330" s="320"/>
      <c r="M1330" s="320"/>
      <c r="N1330" s="320"/>
      <c r="O1330" s="321"/>
      <c r="P1330" s="321"/>
      <c r="Y1330" s="326"/>
      <c r="Z1330" s="326"/>
      <c r="AA1330" s="326"/>
      <c r="AB1330" s="326"/>
      <c r="AC1330" s="326"/>
      <c r="AD1330" s="326"/>
      <c r="AG1330" s="326"/>
      <c r="AH1330" s="326"/>
      <c r="AI1330" s="326"/>
      <c r="AL1330" s="326"/>
      <c r="AM1330" s="326"/>
      <c r="AN1330" s="326"/>
    </row>
    <row r="1331" spans="1:40" x14ac:dyDescent="0.15">
      <c r="A1331" s="327"/>
      <c r="B1331" s="320"/>
      <c r="C1331" s="320"/>
      <c r="D1331" s="320"/>
      <c r="E1331" s="320"/>
      <c r="F1331" s="320"/>
      <c r="G1331" s="320"/>
      <c r="H1331" s="320"/>
      <c r="I1331" s="320"/>
      <c r="J1331" s="320"/>
      <c r="K1331" s="320"/>
      <c r="L1331" s="320"/>
      <c r="M1331" s="320"/>
      <c r="N1331" s="320"/>
      <c r="O1331" s="321"/>
      <c r="P1331" s="321"/>
      <c r="Y1331" s="326"/>
      <c r="Z1331" s="326"/>
      <c r="AA1331" s="326"/>
      <c r="AB1331" s="326"/>
      <c r="AC1331" s="326"/>
      <c r="AD1331" s="326"/>
      <c r="AG1331" s="326"/>
      <c r="AH1331" s="326"/>
      <c r="AI1331" s="326"/>
      <c r="AL1331" s="326"/>
      <c r="AM1331" s="326"/>
      <c r="AN1331" s="326"/>
    </row>
    <row r="1332" spans="1:40" x14ac:dyDescent="0.15">
      <c r="A1332" s="327"/>
      <c r="B1332" s="320"/>
      <c r="C1332" s="320"/>
      <c r="D1332" s="320"/>
      <c r="E1332" s="320"/>
      <c r="F1332" s="320"/>
      <c r="G1332" s="320"/>
      <c r="H1332" s="320"/>
      <c r="I1332" s="320"/>
      <c r="J1332" s="320"/>
      <c r="K1332" s="320"/>
      <c r="L1332" s="320"/>
      <c r="M1332" s="320"/>
      <c r="N1332" s="320"/>
      <c r="O1332" s="321"/>
      <c r="P1332" s="321"/>
      <c r="Y1332" s="326"/>
      <c r="Z1332" s="326"/>
      <c r="AA1332" s="326"/>
      <c r="AB1332" s="326"/>
      <c r="AC1332" s="326"/>
      <c r="AD1332" s="326"/>
      <c r="AG1332" s="326"/>
      <c r="AH1332" s="326"/>
      <c r="AI1332" s="326"/>
      <c r="AL1332" s="326"/>
      <c r="AM1332" s="326"/>
      <c r="AN1332" s="326"/>
    </row>
    <row r="1333" spans="1:40" x14ac:dyDescent="0.15">
      <c r="A1333" s="327"/>
      <c r="B1333" s="320"/>
      <c r="C1333" s="320"/>
      <c r="D1333" s="320"/>
      <c r="E1333" s="320"/>
      <c r="F1333" s="320"/>
      <c r="G1333" s="320"/>
      <c r="H1333" s="320"/>
      <c r="I1333" s="320"/>
      <c r="J1333" s="320"/>
      <c r="K1333" s="320"/>
      <c r="L1333" s="320"/>
      <c r="M1333" s="320"/>
      <c r="N1333" s="320"/>
      <c r="O1333" s="321"/>
      <c r="P1333" s="321"/>
      <c r="Y1333" s="326"/>
      <c r="Z1333" s="326"/>
      <c r="AA1333" s="326"/>
      <c r="AB1333" s="326"/>
      <c r="AC1333" s="326"/>
      <c r="AD1333" s="326"/>
      <c r="AG1333" s="326"/>
      <c r="AH1333" s="326"/>
      <c r="AI1333" s="326"/>
      <c r="AL1333" s="326"/>
      <c r="AM1333" s="326"/>
      <c r="AN1333" s="326"/>
    </row>
    <row r="1334" spans="1:40" x14ac:dyDescent="0.15">
      <c r="A1334" s="327"/>
      <c r="B1334" s="320"/>
      <c r="C1334" s="320"/>
      <c r="D1334" s="320"/>
      <c r="E1334" s="320"/>
      <c r="F1334" s="320"/>
      <c r="G1334" s="320"/>
      <c r="H1334" s="320"/>
      <c r="I1334" s="320"/>
      <c r="J1334" s="320"/>
      <c r="K1334" s="320"/>
      <c r="L1334" s="320"/>
      <c r="M1334" s="320"/>
      <c r="N1334" s="320"/>
      <c r="O1334" s="321"/>
      <c r="P1334" s="321"/>
      <c r="Y1334" s="326"/>
      <c r="Z1334" s="326"/>
      <c r="AA1334" s="326"/>
      <c r="AB1334" s="326"/>
      <c r="AC1334" s="326"/>
      <c r="AD1334" s="326"/>
      <c r="AG1334" s="326"/>
      <c r="AH1334" s="326"/>
      <c r="AI1334" s="326"/>
      <c r="AL1334" s="326"/>
      <c r="AM1334" s="326"/>
      <c r="AN1334" s="326"/>
    </row>
    <row r="1335" spans="1:40" x14ac:dyDescent="0.15">
      <c r="A1335" s="327"/>
      <c r="B1335" s="320"/>
      <c r="C1335" s="320"/>
      <c r="D1335" s="320"/>
      <c r="E1335" s="320"/>
      <c r="F1335" s="320"/>
      <c r="G1335" s="320"/>
      <c r="H1335" s="320"/>
      <c r="I1335" s="320"/>
      <c r="J1335" s="320"/>
      <c r="K1335" s="320"/>
      <c r="L1335" s="320"/>
      <c r="M1335" s="320"/>
      <c r="N1335" s="320"/>
      <c r="O1335" s="321"/>
      <c r="P1335" s="321"/>
      <c r="Y1335" s="326"/>
      <c r="Z1335" s="326"/>
      <c r="AA1335" s="326"/>
      <c r="AB1335" s="326"/>
      <c r="AC1335" s="326"/>
      <c r="AD1335" s="326"/>
      <c r="AG1335" s="326"/>
      <c r="AH1335" s="326"/>
      <c r="AI1335" s="326"/>
      <c r="AL1335" s="326"/>
      <c r="AM1335" s="326"/>
      <c r="AN1335" s="326"/>
    </row>
    <row r="1336" spans="1:40" x14ac:dyDescent="0.15">
      <c r="A1336" s="327"/>
      <c r="B1336" s="320"/>
      <c r="C1336" s="320"/>
      <c r="D1336" s="320"/>
      <c r="E1336" s="320"/>
      <c r="F1336" s="320"/>
      <c r="G1336" s="320"/>
      <c r="H1336" s="320"/>
      <c r="I1336" s="320"/>
      <c r="J1336" s="320"/>
      <c r="K1336" s="320"/>
      <c r="L1336" s="320"/>
      <c r="M1336" s="320"/>
      <c r="N1336" s="320"/>
      <c r="O1336" s="321"/>
      <c r="P1336" s="321"/>
      <c r="Y1336" s="326"/>
      <c r="Z1336" s="326"/>
      <c r="AA1336" s="326"/>
      <c r="AB1336" s="326"/>
      <c r="AC1336" s="326"/>
      <c r="AD1336" s="326"/>
      <c r="AG1336" s="326"/>
      <c r="AH1336" s="326"/>
      <c r="AI1336" s="326"/>
      <c r="AL1336" s="326"/>
      <c r="AM1336" s="326"/>
      <c r="AN1336" s="326"/>
    </row>
    <row r="1337" spans="1:40" x14ac:dyDescent="0.15">
      <c r="A1337" s="327"/>
      <c r="B1337" s="320"/>
      <c r="C1337" s="320"/>
      <c r="D1337" s="320"/>
      <c r="E1337" s="320"/>
      <c r="F1337" s="320"/>
      <c r="G1337" s="320"/>
      <c r="H1337" s="320"/>
      <c r="I1337" s="320"/>
      <c r="J1337" s="320"/>
      <c r="K1337" s="320"/>
      <c r="L1337" s="320"/>
      <c r="M1337" s="320"/>
      <c r="N1337" s="320"/>
      <c r="O1337" s="321"/>
      <c r="P1337" s="321"/>
      <c r="Y1337" s="326"/>
      <c r="Z1337" s="326"/>
      <c r="AA1337" s="326"/>
      <c r="AB1337" s="326"/>
      <c r="AC1337" s="326"/>
      <c r="AD1337" s="326"/>
      <c r="AG1337" s="326"/>
      <c r="AH1337" s="326"/>
      <c r="AI1337" s="326"/>
      <c r="AL1337" s="326"/>
      <c r="AM1337" s="326"/>
      <c r="AN1337" s="326"/>
    </row>
    <row r="1338" spans="1:40" x14ac:dyDescent="0.15">
      <c r="A1338" s="327"/>
      <c r="B1338" s="320"/>
      <c r="C1338" s="320"/>
      <c r="D1338" s="320"/>
      <c r="E1338" s="320"/>
      <c r="F1338" s="320"/>
      <c r="G1338" s="320"/>
      <c r="H1338" s="320"/>
      <c r="I1338" s="320"/>
      <c r="J1338" s="320"/>
      <c r="K1338" s="320"/>
      <c r="L1338" s="320"/>
      <c r="M1338" s="320"/>
      <c r="N1338" s="320"/>
      <c r="O1338" s="321"/>
      <c r="P1338" s="321"/>
      <c r="Y1338" s="326"/>
      <c r="Z1338" s="326"/>
      <c r="AA1338" s="326"/>
      <c r="AB1338" s="326"/>
      <c r="AC1338" s="326"/>
      <c r="AD1338" s="326"/>
      <c r="AG1338" s="326"/>
      <c r="AH1338" s="326"/>
      <c r="AI1338" s="326"/>
      <c r="AL1338" s="326"/>
      <c r="AM1338" s="326"/>
      <c r="AN1338" s="326"/>
    </row>
    <row r="1339" spans="1:40" x14ac:dyDescent="0.15">
      <c r="A1339" s="327"/>
      <c r="B1339" s="320"/>
      <c r="C1339" s="320"/>
      <c r="D1339" s="320"/>
      <c r="E1339" s="320"/>
      <c r="F1339" s="320"/>
      <c r="G1339" s="320"/>
      <c r="H1339" s="320"/>
      <c r="I1339" s="320"/>
      <c r="J1339" s="320"/>
      <c r="K1339" s="320"/>
      <c r="L1339" s="320"/>
      <c r="M1339" s="320"/>
      <c r="N1339" s="320"/>
      <c r="O1339" s="321"/>
      <c r="P1339" s="321"/>
      <c r="Y1339" s="326"/>
      <c r="Z1339" s="326"/>
      <c r="AA1339" s="326"/>
      <c r="AB1339" s="326"/>
      <c r="AC1339" s="326"/>
      <c r="AD1339" s="326"/>
      <c r="AG1339" s="326"/>
      <c r="AH1339" s="326"/>
      <c r="AI1339" s="326"/>
      <c r="AL1339" s="326"/>
      <c r="AM1339" s="326"/>
      <c r="AN1339" s="326"/>
    </row>
    <row r="1340" spans="1:40" x14ac:dyDescent="0.15">
      <c r="A1340" s="327"/>
      <c r="B1340" s="320"/>
      <c r="C1340" s="320"/>
      <c r="D1340" s="320"/>
      <c r="E1340" s="320"/>
      <c r="F1340" s="320"/>
      <c r="G1340" s="320"/>
      <c r="H1340" s="320"/>
      <c r="I1340" s="320"/>
      <c r="J1340" s="320"/>
      <c r="K1340" s="320"/>
      <c r="L1340" s="320"/>
      <c r="M1340" s="320"/>
      <c r="N1340" s="320"/>
      <c r="O1340" s="321"/>
      <c r="P1340" s="321"/>
      <c r="Y1340" s="326"/>
      <c r="Z1340" s="326"/>
      <c r="AA1340" s="326"/>
      <c r="AB1340" s="326"/>
      <c r="AC1340" s="326"/>
      <c r="AD1340" s="326"/>
      <c r="AG1340" s="326"/>
      <c r="AH1340" s="326"/>
      <c r="AI1340" s="326"/>
      <c r="AL1340" s="326"/>
      <c r="AM1340" s="326"/>
      <c r="AN1340" s="326"/>
    </row>
    <row r="1341" spans="1:40" x14ac:dyDescent="0.15">
      <c r="A1341" s="327"/>
      <c r="B1341" s="320"/>
      <c r="C1341" s="320"/>
      <c r="D1341" s="320"/>
      <c r="E1341" s="320"/>
      <c r="F1341" s="320"/>
      <c r="G1341" s="320"/>
      <c r="H1341" s="320"/>
      <c r="I1341" s="320"/>
      <c r="J1341" s="320"/>
      <c r="K1341" s="320"/>
      <c r="L1341" s="320"/>
      <c r="M1341" s="320"/>
      <c r="N1341" s="320"/>
      <c r="O1341" s="321"/>
      <c r="P1341" s="321"/>
      <c r="Y1341" s="326"/>
      <c r="Z1341" s="326"/>
      <c r="AA1341" s="326"/>
      <c r="AB1341" s="326"/>
      <c r="AC1341" s="326"/>
      <c r="AD1341" s="326"/>
      <c r="AG1341" s="326"/>
      <c r="AH1341" s="326"/>
      <c r="AI1341" s="326"/>
      <c r="AL1341" s="326"/>
      <c r="AM1341" s="326"/>
      <c r="AN1341" s="326"/>
    </row>
    <row r="1342" spans="1:40" x14ac:dyDescent="0.15">
      <c r="A1342" s="327"/>
      <c r="B1342" s="320"/>
      <c r="C1342" s="320"/>
      <c r="D1342" s="320"/>
      <c r="E1342" s="320"/>
      <c r="F1342" s="320"/>
      <c r="G1342" s="320"/>
      <c r="H1342" s="320"/>
      <c r="I1342" s="320"/>
      <c r="J1342" s="320"/>
      <c r="K1342" s="320"/>
      <c r="L1342" s="320"/>
      <c r="M1342" s="320"/>
      <c r="N1342" s="320"/>
      <c r="O1342" s="321"/>
      <c r="P1342" s="321"/>
      <c r="Y1342" s="326"/>
      <c r="Z1342" s="326"/>
      <c r="AA1342" s="326"/>
      <c r="AB1342" s="326"/>
      <c r="AC1342" s="326"/>
      <c r="AD1342" s="326"/>
      <c r="AG1342" s="326"/>
      <c r="AH1342" s="326"/>
      <c r="AI1342" s="326"/>
      <c r="AL1342" s="326"/>
      <c r="AM1342" s="326"/>
      <c r="AN1342" s="326"/>
    </row>
    <row r="1343" spans="1:40" x14ac:dyDescent="0.15">
      <c r="A1343" s="327"/>
      <c r="B1343" s="320"/>
      <c r="C1343" s="320"/>
      <c r="D1343" s="320"/>
      <c r="E1343" s="320"/>
      <c r="F1343" s="320"/>
      <c r="G1343" s="320"/>
      <c r="H1343" s="320"/>
      <c r="I1343" s="320"/>
      <c r="J1343" s="320"/>
      <c r="K1343" s="320"/>
      <c r="L1343" s="320"/>
      <c r="M1343" s="320"/>
      <c r="N1343" s="320"/>
      <c r="O1343" s="321"/>
      <c r="P1343" s="321"/>
      <c r="Y1343" s="326"/>
      <c r="Z1343" s="326"/>
      <c r="AA1343" s="326"/>
      <c r="AB1343" s="326"/>
      <c r="AC1343" s="326"/>
      <c r="AD1343" s="326"/>
      <c r="AG1343" s="326"/>
      <c r="AH1343" s="326"/>
      <c r="AI1343" s="326"/>
      <c r="AL1343" s="326"/>
      <c r="AM1343" s="326"/>
      <c r="AN1343" s="326"/>
    </row>
    <row r="1344" spans="1:40" x14ac:dyDescent="0.15">
      <c r="A1344" s="327"/>
      <c r="B1344" s="320"/>
      <c r="C1344" s="320"/>
      <c r="D1344" s="320"/>
      <c r="E1344" s="320"/>
      <c r="F1344" s="320"/>
      <c r="G1344" s="320"/>
      <c r="H1344" s="320"/>
      <c r="I1344" s="320"/>
      <c r="J1344" s="320"/>
      <c r="K1344" s="320"/>
      <c r="L1344" s="320"/>
      <c r="M1344" s="320"/>
      <c r="N1344" s="320"/>
      <c r="O1344" s="321"/>
      <c r="P1344" s="321"/>
      <c r="Y1344" s="326"/>
      <c r="Z1344" s="326"/>
      <c r="AA1344" s="326"/>
      <c r="AB1344" s="326"/>
      <c r="AC1344" s="326"/>
      <c r="AD1344" s="326"/>
      <c r="AG1344" s="326"/>
      <c r="AH1344" s="326"/>
      <c r="AI1344" s="326"/>
      <c r="AL1344" s="326"/>
      <c r="AM1344" s="326"/>
      <c r="AN1344" s="326"/>
    </row>
    <row r="1345" spans="1:40" x14ac:dyDescent="0.15">
      <c r="A1345" s="327"/>
      <c r="B1345" s="320"/>
      <c r="C1345" s="320"/>
      <c r="D1345" s="320"/>
      <c r="E1345" s="320"/>
      <c r="F1345" s="320"/>
      <c r="G1345" s="320"/>
      <c r="H1345" s="320"/>
      <c r="I1345" s="320"/>
      <c r="J1345" s="320"/>
      <c r="K1345" s="320"/>
      <c r="L1345" s="320"/>
      <c r="M1345" s="320"/>
      <c r="N1345" s="320"/>
      <c r="O1345" s="321"/>
      <c r="P1345" s="321"/>
      <c r="Y1345" s="326"/>
      <c r="Z1345" s="326"/>
      <c r="AA1345" s="326"/>
      <c r="AB1345" s="326"/>
      <c r="AC1345" s="326"/>
      <c r="AD1345" s="326"/>
      <c r="AG1345" s="326"/>
      <c r="AH1345" s="326"/>
      <c r="AI1345" s="326"/>
      <c r="AL1345" s="326"/>
      <c r="AM1345" s="326"/>
      <c r="AN1345" s="326"/>
    </row>
    <row r="1346" spans="1:40" x14ac:dyDescent="0.15">
      <c r="A1346" s="327"/>
      <c r="B1346" s="320"/>
      <c r="C1346" s="320"/>
      <c r="D1346" s="320"/>
      <c r="E1346" s="320"/>
      <c r="F1346" s="320"/>
      <c r="G1346" s="320"/>
      <c r="H1346" s="320"/>
      <c r="I1346" s="320"/>
      <c r="J1346" s="320"/>
      <c r="K1346" s="320"/>
      <c r="L1346" s="320"/>
      <c r="M1346" s="320"/>
      <c r="N1346" s="320"/>
      <c r="O1346" s="321"/>
      <c r="P1346" s="321"/>
      <c r="Y1346" s="326"/>
      <c r="Z1346" s="326"/>
      <c r="AA1346" s="326"/>
      <c r="AB1346" s="326"/>
      <c r="AC1346" s="326"/>
      <c r="AD1346" s="326"/>
      <c r="AG1346" s="326"/>
      <c r="AH1346" s="326"/>
      <c r="AI1346" s="326"/>
      <c r="AL1346" s="326"/>
      <c r="AM1346" s="326"/>
      <c r="AN1346" s="326"/>
    </row>
    <row r="1347" spans="1:40" x14ac:dyDescent="0.15">
      <c r="A1347" s="327"/>
      <c r="B1347" s="320"/>
      <c r="C1347" s="320"/>
      <c r="D1347" s="320"/>
      <c r="E1347" s="320"/>
      <c r="F1347" s="320"/>
      <c r="G1347" s="320"/>
      <c r="H1347" s="320"/>
      <c r="I1347" s="320"/>
      <c r="J1347" s="320"/>
      <c r="K1347" s="320"/>
      <c r="L1347" s="320"/>
      <c r="M1347" s="320"/>
      <c r="N1347" s="320"/>
      <c r="O1347" s="321"/>
      <c r="P1347" s="321"/>
      <c r="Y1347" s="326"/>
      <c r="Z1347" s="326"/>
      <c r="AA1347" s="326"/>
      <c r="AB1347" s="326"/>
      <c r="AC1347" s="326"/>
      <c r="AD1347" s="326"/>
      <c r="AG1347" s="326"/>
      <c r="AH1347" s="326"/>
      <c r="AI1347" s="326"/>
      <c r="AL1347" s="326"/>
      <c r="AM1347" s="326"/>
      <c r="AN1347" s="326"/>
    </row>
    <row r="1348" spans="1:40" x14ac:dyDescent="0.15">
      <c r="A1348" s="327"/>
      <c r="B1348" s="320"/>
      <c r="C1348" s="320"/>
      <c r="D1348" s="320"/>
      <c r="E1348" s="320"/>
      <c r="F1348" s="320"/>
      <c r="G1348" s="320"/>
      <c r="H1348" s="320"/>
      <c r="I1348" s="320"/>
      <c r="J1348" s="320"/>
      <c r="K1348" s="320"/>
      <c r="L1348" s="320"/>
      <c r="M1348" s="320"/>
      <c r="N1348" s="320"/>
      <c r="O1348" s="321"/>
      <c r="P1348" s="321"/>
      <c r="Y1348" s="326"/>
      <c r="Z1348" s="326"/>
      <c r="AA1348" s="326"/>
      <c r="AB1348" s="326"/>
      <c r="AC1348" s="326"/>
      <c r="AD1348" s="326"/>
      <c r="AG1348" s="326"/>
      <c r="AH1348" s="326"/>
      <c r="AI1348" s="326"/>
      <c r="AL1348" s="326"/>
      <c r="AM1348" s="326"/>
      <c r="AN1348" s="326"/>
    </row>
    <row r="1349" spans="1:40" x14ac:dyDescent="0.15">
      <c r="A1349" s="327"/>
      <c r="B1349" s="320"/>
      <c r="C1349" s="320"/>
      <c r="D1349" s="320"/>
      <c r="E1349" s="320"/>
      <c r="F1349" s="320"/>
      <c r="G1349" s="320"/>
      <c r="H1349" s="320"/>
      <c r="I1349" s="320"/>
      <c r="J1349" s="320"/>
      <c r="K1349" s="320"/>
      <c r="L1349" s="320"/>
      <c r="M1349" s="320"/>
      <c r="N1349" s="320"/>
      <c r="O1349" s="321"/>
      <c r="P1349" s="321"/>
      <c r="Y1349" s="326"/>
      <c r="Z1349" s="326"/>
      <c r="AA1349" s="326"/>
      <c r="AB1349" s="326"/>
      <c r="AC1349" s="326"/>
      <c r="AD1349" s="326"/>
      <c r="AG1349" s="326"/>
      <c r="AH1349" s="326"/>
      <c r="AI1349" s="326"/>
      <c r="AL1349" s="326"/>
      <c r="AM1349" s="326"/>
      <c r="AN1349" s="326"/>
    </row>
    <row r="1350" spans="1:40" x14ac:dyDescent="0.15">
      <c r="A1350" s="327"/>
      <c r="B1350" s="320"/>
      <c r="C1350" s="320"/>
      <c r="D1350" s="320"/>
      <c r="E1350" s="320"/>
      <c r="F1350" s="320"/>
      <c r="G1350" s="320"/>
      <c r="H1350" s="320"/>
      <c r="I1350" s="320"/>
      <c r="J1350" s="320"/>
      <c r="K1350" s="320"/>
      <c r="L1350" s="320"/>
      <c r="M1350" s="320"/>
      <c r="N1350" s="320"/>
      <c r="O1350" s="321"/>
      <c r="P1350" s="321"/>
      <c r="Y1350" s="326"/>
      <c r="Z1350" s="326"/>
      <c r="AA1350" s="326"/>
      <c r="AB1350" s="326"/>
      <c r="AC1350" s="326"/>
      <c r="AD1350" s="326"/>
      <c r="AG1350" s="326"/>
      <c r="AH1350" s="326"/>
      <c r="AI1350" s="326"/>
      <c r="AL1350" s="326"/>
      <c r="AM1350" s="326"/>
      <c r="AN1350" s="326"/>
    </row>
    <row r="1351" spans="1:40" x14ac:dyDescent="0.15">
      <c r="A1351" s="327"/>
      <c r="B1351" s="320"/>
      <c r="C1351" s="320"/>
      <c r="D1351" s="320"/>
      <c r="E1351" s="320"/>
      <c r="F1351" s="320"/>
      <c r="G1351" s="320"/>
      <c r="H1351" s="320"/>
      <c r="I1351" s="320"/>
      <c r="J1351" s="320"/>
      <c r="K1351" s="320"/>
      <c r="L1351" s="320"/>
      <c r="M1351" s="320"/>
      <c r="N1351" s="320"/>
      <c r="O1351" s="321"/>
      <c r="P1351" s="321"/>
      <c r="Y1351" s="326"/>
      <c r="Z1351" s="326"/>
      <c r="AA1351" s="326"/>
      <c r="AB1351" s="326"/>
      <c r="AC1351" s="326"/>
      <c r="AD1351" s="326"/>
      <c r="AG1351" s="326"/>
      <c r="AH1351" s="326"/>
      <c r="AI1351" s="326"/>
      <c r="AL1351" s="326"/>
      <c r="AM1351" s="326"/>
      <c r="AN1351" s="326"/>
    </row>
    <row r="1352" spans="1:40" x14ac:dyDescent="0.15">
      <c r="A1352" s="327"/>
      <c r="B1352" s="320"/>
      <c r="C1352" s="320"/>
      <c r="D1352" s="320"/>
      <c r="E1352" s="320"/>
      <c r="F1352" s="320"/>
      <c r="G1352" s="320"/>
      <c r="H1352" s="320"/>
      <c r="I1352" s="320"/>
      <c r="J1352" s="320"/>
      <c r="K1352" s="320"/>
      <c r="L1352" s="320"/>
      <c r="M1352" s="320"/>
      <c r="N1352" s="320"/>
      <c r="O1352" s="321"/>
      <c r="P1352" s="321"/>
      <c r="Y1352" s="326"/>
      <c r="Z1352" s="326"/>
      <c r="AA1352" s="326"/>
      <c r="AB1352" s="326"/>
      <c r="AC1352" s="326"/>
      <c r="AD1352" s="326"/>
      <c r="AG1352" s="326"/>
      <c r="AH1352" s="326"/>
      <c r="AI1352" s="326"/>
      <c r="AL1352" s="326"/>
      <c r="AM1352" s="326"/>
      <c r="AN1352" s="326"/>
    </row>
    <row r="1353" spans="1:40" x14ac:dyDescent="0.15">
      <c r="A1353" s="327"/>
      <c r="B1353" s="320"/>
      <c r="C1353" s="320"/>
      <c r="D1353" s="320"/>
      <c r="E1353" s="320"/>
      <c r="F1353" s="320"/>
      <c r="G1353" s="320"/>
      <c r="H1353" s="320"/>
      <c r="I1353" s="320"/>
      <c r="J1353" s="320"/>
      <c r="K1353" s="320"/>
      <c r="L1353" s="320"/>
      <c r="M1353" s="320"/>
      <c r="N1353" s="320"/>
      <c r="O1353" s="321"/>
      <c r="P1353" s="321"/>
      <c r="Y1353" s="326"/>
      <c r="Z1353" s="326"/>
      <c r="AA1353" s="326"/>
      <c r="AB1353" s="326"/>
      <c r="AC1353" s="326"/>
      <c r="AD1353" s="326"/>
      <c r="AG1353" s="326"/>
      <c r="AH1353" s="326"/>
      <c r="AI1353" s="326"/>
      <c r="AL1353" s="326"/>
      <c r="AM1353" s="326"/>
      <c r="AN1353" s="326"/>
    </row>
    <row r="1354" spans="1:40" x14ac:dyDescent="0.15">
      <c r="A1354" s="327"/>
      <c r="B1354" s="320"/>
      <c r="C1354" s="320"/>
      <c r="D1354" s="320"/>
      <c r="E1354" s="320"/>
      <c r="F1354" s="320"/>
      <c r="G1354" s="320"/>
      <c r="H1354" s="320"/>
      <c r="I1354" s="320"/>
      <c r="J1354" s="320"/>
      <c r="K1354" s="320"/>
      <c r="L1354" s="320"/>
      <c r="M1354" s="320"/>
      <c r="N1354" s="320"/>
      <c r="O1354" s="321"/>
      <c r="P1354" s="321"/>
      <c r="Y1354" s="326"/>
      <c r="Z1354" s="326"/>
      <c r="AA1354" s="326"/>
      <c r="AB1354" s="326"/>
      <c r="AC1354" s="326"/>
      <c r="AD1354" s="326"/>
      <c r="AG1354" s="326"/>
      <c r="AH1354" s="326"/>
      <c r="AI1354" s="326"/>
      <c r="AL1354" s="326"/>
      <c r="AM1354" s="326"/>
      <c r="AN1354" s="326"/>
    </row>
    <row r="1355" spans="1:40" x14ac:dyDescent="0.15">
      <c r="A1355" s="327"/>
      <c r="B1355" s="320"/>
      <c r="C1355" s="320"/>
      <c r="D1355" s="320"/>
      <c r="E1355" s="320"/>
      <c r="F1355" s="320"/>
      <c r="G1355" s="320"/>
      <c r="H1355" s="320"/>
      <c r="I1355" s="320"/>
      <c r="J1355" s="320"/>
      <c r="K1355" s="320"/>
      <c r="L1355" s="320"/>
      <c r="M1355" s="320"/>
      <c r="N1355" s="320"/>
      <c r="O1355" s="321"/>
      <c r="P1355" s="321"/>
      <c r="Y1355" s="326"/>
      <c r="Z1355" s="326"/>
      <c r="AA1355" s="326"/>
      <c r="AB1355" s="326"/>
      <c r="AC1355" s="326"/>
      <c r="AD1355" s="326"/>
      <c r="AG1355" s="326"/>
      <c r="AH1355" s="326"/>
      <c r="AI1355" s="326"/>
      <c r="AL1355" s="326"/>
      <c r="AM1355" s="326"/>
      <c r="AN1355" s="326"/>
    </row>
    <row r="1356" spans="1:40" x14ac:dyDescent="0.15">
      <c r="A1356" s="327"/>
      <c r="B1356" s="320"/>
      <c r="C1356" s="320"/>
      <c r="D1356" s="320"/>
      <c r="E1356" s="320"/>
      <c r="F1356" s="320"/>
      <c r="G1356" s="320"/>
      <c r="H1356" s="320"/>
      <c r="I1356" s="320"/>
      <c r="J1356" s="320"/>
      <c r="K1356" s="320"/>
      <c r="L1356" s="320"/>
      <c r="M1356" s="320"/>
      <c r="N1356" s="320"/>
      <c r="O1356" s="321"/>
      <c r="P1356" s="321"/>
      <c r="Y1356" s="326"/>
      <c r="Z1356" s="326"/>
      <c r="AA1356" s="326"/>
      <c r="AB1356" s="326"/>
      <c r="AC1356" s="326"/>
      <c r="AD1356" s="326"/>
      <c r="AG1356" s="326"/>
      <c r="AH1356" s="326"/>
      <c r="AI1356" s="326"/>
      <c r="AL1356" s="326"/>
      <c r="AM1356" s="326"/>
      <c r="AN1356" s="326"/>
    </row>
    <row r="1357" spans="1:40" x14ac:dyDescent="0.15">
      <c r="A1357" s="327"/>
      <c r="B1357" s="320"/>
      <c r="C1357" s="320"/>
      <c r="D1357" s="320"/>
      <c r="E1357" s="320"/>
      <c r="F1357" s="320"/>
      <c r="G1357" s="320"/>
      <c r="H1357" s="320"/>
      <c r="I1357" s="320"/>
      <c r="J1357" s="320"/>
      <c r="K1357" s="320"/>
      <c r="L1357" s="320"/>
      <c r="M1357" s="320"/>
      <c r="N1357" s="320"/>
      <c r="O1357" s="321"/>
      <c r="P1357" s="321"/>
      <c r="Y1357" s="326"/>
      <c r="Z1357" s="326"/>
      <c r="AA1357" s="326"/>
      <c r="AB1357" s="326"/>
      <c r="AC1357" s="326"/>
      <c r="AD1357" s="326"/>
      <c r="AG1357" s="326"/>
      <c r="AH1357" s="326"/>
      <c r="AI1357" s="326"/>
      <c r="AL1357" s="326"/>
      <c r="AM1357" s="326"/>
      <c r="AN1357" s="326"/>
    </row>
    <row r="1358" spans="1:40" x14ac:dyDescent="0.15">
      <c r="A1358" s="327"/>
      <c r="B1358" s="320"/>
      <c r="C1358" s="320"/>
      <c r="D1358" s="320"/>
      <c r="E1358" s="320"/>
      <c r="F1358" s="320"/>
      <c r="G1358" s="320"/>
      <c r="H1358" s="320"/>
      <c r="I1358" s="320"/>
      <c r="J1358" s="320"/>
      <c r="K1358" s="320"/>
      <c r="L1358" s="320"/>
      <c r="M1358" s="320"/>
      <c r="N1358" s="320"/>
      <c r="O1358" s="321"/>
      <c r="P1358" s="321"/>
      <c r="Y1358" s="326"/>
      <c r="Z1358" s="326"/>
      <c r="AA1358" s="326"/>
      <c r="AB1358" s="326"/>
      <c r="AC1358" s="326"/>
      <c r="AD1358" s="326"/>
      <c r="AG1358" s="326"/>
      <c r="AH1358" s="326"/>
      <c r="AI1358" s="326"/>
      <c r="AL1358" s="326"/>
      <c r="AM1358" s="326"/>
      <c r="AN1358" s="326"/>
    </row>
    <row r="1359" spans="1:40" x14ac:dyDescent="0.15">
      <c r="A1359" s="327"/>
      <c r="B1359" s="320"/>
      <c r="C1359" s="320"/>
      <c r="D1359" s="320"/>
      <c r="E1359" s="320"/>
      <c r="F1359" s="320"/>
      <c r="G1359" s="320"/>
      <c r="H1359" s="320"/>
      <c r="I1359" s="320"/>
      <c r="J1359" s="320"/>
      <c r="K1359" s="320"/>
      <c r="L1359" s="320"/>
      <c r="M1359" s="320"/>
      <c r="N1359" s="320"/>
      <c r="O1359" s="321"/>
      <c r="P1359" s="321"/>
      <c r="Y1359" s="326"/>
      <c r="Z1359" s="326"/>
      <c r="AA1359" s="326"/>
      <c r="AB1359" s="326"/>
      <c r="AC1359" s="326"/>
      <c r="AD1359" s="326"/>
      <c r="AG1359" s="326"/>
      <c r="AH1359" s="326"/>
      <c r="AI1359" s="326"/>
      <c r="AL1359" s="326"/>
      <c r="AM1359" s="326"/>
      <c r="AN1359" s="326"/>
    </row>
    <row r="1360" spans="1:40" x14ac:dyDescent="0.15">
      <c r="A1360" s="327"/>
      <c r="B1360" s="320"/>
      <c r="C1360" s="320"/>
      <c r="D1360" s="320"/>
      <c r="E1360" s="320"/>
      <c r="F1360" s="320"/>
      <c r="G1360" s="320"/>
      <c r="H1360" s="320"/>
      <c r="I1360" s="320"/>
      <c r="J1360" s="320"/>
      <c r="K1360" s="320"/>
      <c r="L1360" s="320"/>
      <c r="M1360" s="320"/>
      <c r="N1360" s="320"/>
      <c r="O1360" s="321"/>
      <c r="P1360" s="321"/>
      <c r="Y1360" s="326"/>
      <c r="Z1360" s="326"/>
      <c r="AA1360" s="326"/>
      <c r="AB1360" s="326"/>
      <c r="AC1360" s="326"/>
      <c r="AD1360" s="326"/>
      <c r="AG1360" s="326"/>
      <c r="AH1360" s="326"/>
      <c r="AI1360" s="326"/>
      <c r="AL1360" s="326"/>
      <c r="AM1360" s="326"/>
      <c r="AN1360" s="326"/>
    </row>
    <row r="1361" spans="1:40" x14ac:dyDescent="0.15">
      <c r="A1361" s="327"/>
      <c r="B1361" s="320"/>
      <c r="C1361" s="320"/>
      <c r="D1361" s="320"/>
      <c r="E1361" s="320"/>
      <c r="F1361" s="320"/>
      <c r="G1361" s="320"/>
      <c r="H1361" s="320"/>
      <c r="I1361" s="320"/>
      <c r="J1361" s="320"/>
      <c r="K1361" s="320"/>
      <c r="L1361" s="320"/>
      <c r="M1361" s="320"/>
      <c r="N1361" s="320"/>
      <c r="O1361" s="321"/>
      <c r="P1361" s="321"/>
      <c r="Y1361" s="326"/>
      <c r="Z1361" s="326"/>
      <c r="AA1361" s="326"/>
      <c r="AB1361" s="326"/>
      <c r="AC1361" s="326"/>
      <c r="AD1361" s="326"/>
      <c r="AG1361" s="326"/>
      <c r="AH1361" s="326"/>
      <c r="AI1361" s="326"/>
      <c r="AL1361" s="326"/>
      <c r="AM1361" s="326"/>
      <c r="AN1361" s="326"/>
    </row>
    <row r="1362" spans="1:40" x14ac:dyDescent="0.15">
      <c r="A1362" s="327"/>
      <c r="B1362" s="320"/>
      <c r="C1362" s="320"/>
      <c r="D1362" s="320"/>
      <c r="E1362" s="320"/>
      <c r="F1362" s="320"/>
      <c r="G1362" s="320"/>
      <c r="H1362" s="320"/>
      <c r="I1362" s="320"/>
      <c r="J1362" s="320"/>
      <c r="K1362" s="320"/>
      <c r="L1362" s="320"/>
      <c r="M1362" s="320"/>
      <c r="N1362" s="320"/>
      <c r="O1362" s="321"/>
      <c r="P1362" s="321"/>
      <c r="Y1362" s="326"/>
      <c r="Z1362" s="326"/>
      <c r="AA1362" s="326"/>
      <c r="AB1362" s="326"/>
      <c r="AC1362" s="326"/>
      <c r="AD1362" s="326"/>
      <c r="AG1362" s="326"/>
      <c r="AH1362" s="326"/>
      <c r="AI1362" s="326"/>
      <c r="AL1362" s="326"/>
      <c r="AM1362" s="326"/>
      <c r="AN1362" s="326"/>
    </row>
    <row r="1363" spans="1:40" x14ac:dyDescent="0.15">
      <c r="A1363" s="327"/>
      <c r="B1363" s="320"/>
      <c r="C1363" s="320"/>
      <c r="D1363" s="320"/>
      <c r="E1363" s="320"/>
      <c r="F1363" s="320"/>
      <c r="G1363" s="320"/>
      <c r="H1363" s="320"/>
      <c r="I1363" s="320"/>
      <c r="J1363" s="320"/>
      <c r="K1363" s="320"/>
      <c r="L1363" s="320"/>
      <c r="M1363" s="320"/>
      <c r="N1363" s="320"/>
      <c r="O1363" s="321"/>
      <c r="P1363" s="321"/>
      <c r="Y1363" s="326"/>
      <c r="Z1363" s="326"/>
      <c r="AA1363" s="326"/>
      <c r="AB1363" s="326"/>
      <c r="AC1363" s="326"/>
      <c r="AD1363" s="326"/>
      <c r="AG1363" s="326"/>
      <c r="AH1363" s="326"/>
      <c r="AI1363" s="326"/>
      <c r="AL1363" s="326"/>
      <c r="AM1363" s="326"/>
      <c r="AN1363" s="326"/>
    </row>
    <row r="1364" spans="1:40" x14ac:dyDescent="0.15">
      <c r="A1364" s="327"/>
      <c r="B1364" s="320"/>
      <c r="C1364" s="320"/>
      <c r="D1364" s="320"/>
      <c r="E1364" s="320"/>
      <c r="F1364" s="320"/>
      <c r="G1364" s="320"/>
      <c r="H1364" s="320"/>
      <c r="I1364" s="320"/>
      <c r="J1364" s="320"/>
      <c r="K1364" s="320"/>
      <c r="L1364" s="320"/>
      <c r="M1364" s="320"/>
      <c r="N1364" s="320"/>
      <c r="O1364" s="321"/>
      <c r="P1364" s="321"/>
      <c r="Y1364" s="326"/>
      <c r="Z1364" s="326"/>
      <c r="AA1364" s="326"/>
      <c r="AB1364" s="326"/>
      <c r="AC1364" s="326"/>
      <c r="AD1364" s="326"/>
      <c r="AG1364" s="326"/>
      <c r="AH1364" s="326"/>
      <c r="AI1364" s="326"/>
      <c r="AL1364" s="326"/>
      <c r="AM1364" s="326"/>
      <c r="AN1364" s="326"/>
    </row>
    <row r="1365" spans="1:40" x14ac:dyDescent="0.15">
      <c r="A1365" s="327"/>
      <c r="B1365" s="320"/>
      <c r="C1365" s="320"/>
      <c r="D1365" s="320"/>
      <c r="E1365" s="320"/>
      <c r="F1365" s="320"/>
      <c r="G1365" s="320"/>
      <c r="H1365" s="320"/>
      <c r="I1365" s="320"/>
      <c r="J1365" s="320"/>
      <c r="K1365" s="320"/>
      <c r="L1365" s="320"/>
      <c r="M1365" s="320"/>
      <c r="N1365" s="320"/>
      <c r="O1365" s="321"/>
      <c r="P1365" s="321"/>
      <c r="Y1365" s="326"/>
      <c r="Z1365" s="326"/>
      <c r="AA1365" s="326"/>
      <c r="AB1365" s="326"/>
      <c r="AC1365" s="326"/>
      <c r="AD1365" s="326"/>
      <c r="AG1365" s="326"/>
      <c r="AH1365" s="326"/>
      <c r="AI1365" s="326"/>
      <c r="AL1365" s="326"/>
      <c r="AM1365" s="326"/>
      <c r="AN1365" s="326"/>
    </row>
    <row r="1366" spans="1:40" x14ac:dyDescent="0.15">
      <c r="A1366" s="327"/>
      <c r="B1366" s="320"/>
      <c r="C1366" s="320"/>
      <c r="D1366" s="320"/>
      <c r="E1366" s="320"/>
      <c r="F1366" s="320"/>
      <c r="G1366" s="320"/>
      <c r="H1366" s="320"/>
      <c r="I1366" s="320"/>
      <c r="J1366" s="320"/>
      <c r="K1366" s="320"/>
      <c r="L1366" s="320"/>
      <c r="M1366" s="320"/>
      <c r="N1366" s="320"/>
      <c r="O1366" s="321"/>
      <c r="P1366" s="321"/>
      <c r="Y1366" s="326"/>
      <c r="Z1366" s="326"/>
      <c r="AA1366" s="326"/>
      <c r="AB1366" s="326"/>
      <c r="AC1366" s="326"/>
      <c r="AD1366" s="326"/>
      <c r="AG1366" s="326"/>
      <c r="AH1366" s="326"/>
      <c r="AI1366" s="326"/>
      <c r="AL1366" s="326"/>
      <c r="AM1366" s="326"/>
      <c r="AN1366" s="326"/>
    </row>
    <row r="1367" spans="1:40" x14ac:dyDescent="0.15">
      <c r="A1367" s="327"/>
      <c r="B1367" s="320"/>
      <c r="C1367" s="320"/>
      <c r="D1367" s="320"/>
      <c r="E1367" s="320"/>
      <c r="F1367" s="320"/>
      <c r="G1367" s="320"/>
      <c r="H1367" s="320"/>
      <c r="I1367" s="320"/>
      <c r="J1367" s="320"/>
      <c r="K1367" s="320"/>
      <c r="L1367" s="320"/>
      <c r="M1367" s="320"/>
      <c r="N1367" s="320"/>
      <c r="O1367" s="321"/>
      <c r="P1367" s="321"/>
      <c r="Y1367" s="326"/>
      <c r="Z1367" s="326"/>
      <c r="AA1367" s="326"/>
      <c r="AB1367" s="326"/>
      <c r="AC1367" s="326"/>
      <c r="AD1367" s="326"/>
      <c r="AG1367" s="326"/>
      <c r="AH1367" s="326"/>
      <c r="AI1367" s="326"/>
      <c r="AL1367" s="326"/>
      <c r="AM1367" s="326"/>
      <c r="AN1367" s="326"/>
    </row>
    <row r="1368" spans="1:40" x14ac:dyDescent="0.15">
      <c r="A1368" s="327"/>
      <c r="B1368" s="320"/>
      <c r="C1368" s="320"/>
      <c r="D1368" s="320"/>
      <c r="E1368" s="320"/>
      <c r="F1368" s="320"/>
      <c r="G1368" s="320"/>
      <c r="H1368" s="320"/>
      <c r="I1368" s="320"/>
      <c r="J1368" s="320"/>
      <c r="K1368" s="320"/>
      <c r="L1368" s="320"/>
      <c r="M1368" s="320"/>
      <c r="N1368" s="320"/>
      <c r="O1368" s="321"/>
      <c r="P1368" s="321"/>
      <c r="Y1368" s="326"/>
      <c r="Z1368" s="326"/>
      <c r="AA1368" s="326"/>
      <c r="AB1368" s="326"/>
      <c r="AC1368" s="326"/>
      <c r="AD1368" s="326"/>
      <c r="AG1368" s="326"/>
      <c r="AH1368" s="326"/>
      <c r="AI1368" s="326"/>
      <c r="AL1368" s="326"/>
      <c r="AM1368" s="326"/>
      <c r="AN1368" s="326"/>
    </row>
    <row r="1369" spans="1:40" x14ac:dyDescent="0.15">
      <c r="A1369" s="327"/>
      <c r="B1369" s="320"/>
      <c r="C1369" s="320"/>
      <c r="D1369" s="320"/>
      <c r="E1369" s="320"/>
      <c r="F1369" s="320"/>
      <c r="G1369" s="320"/>
      <c r="H1369" s="320"/>
      <c r="I1369" s="320"/>
      <c r="J1369" s="320"/>
      <c r="K1369" s="320"/>
      <c r="L1369" s="320"/>
      <c r="M1369" s="320"/>
      <c r="N1369" s="320"/>
      <c r="O1369" s="321"/>
      <c r="P1369" s="321"/>
      <c r="Y1369" s="326"/>
      <c r="Z1369" s="326"/>
      <c r="AA1369" s="326"/>
      <c r="AB1369" s="326"/>
      <c r="AC1369" s="326"/>
      <c r="AD1369" s="326"/>
      <c r="AG1369" s="326"/>
      <c r="AH1369" s="326"/>
      <c r="AI1369" s="326"/>
      <c r="AL1369" s="326"/>
      <c r="AM1369" s="326"/>
      <c r="AN1369" s="326"/>
    </row>
    <row r="1370" spans="1:40" x14ac:dyDescent="0.15">
      <c r="A1370" s="327"/>
      <c r="B1370" s="320"/>
      <c r="C1370" s="320"/>
      <c r="D1370" s="320"/>
      <c r="E1370" s="320"/>
      <c r="F1370" s="320"/>
      <c r="G1370" s="320"/>
      <c r="H1370" s="320"/>
      <c r="I1370" s="320"/>
      <c r="J1370" s="320"/>
      <c r="K1370" s="320"/>
      <c r="L1370" s="320"/>
      <c r="M1370" s="320"/>
      <c r="N1370" s="320"/>
      <c r="O1370" s="321"/>
      <c r="P1370" s="321"/>
      <c r="Y1370" s="326"/>
      <c r="Z1370" s="326"/>
      <c r="AA1370" s="326"/>
      <c r="AB1370" s="326"/>
      <c r="AC1370" s="326"/>
      <c r="AD1370" s="326"/>
      <c r="AG1370" s="326"/>
      <c r="AH1370" s="326"/>
      <c r="AI1370" s="326"/>
      <c r="AL1370" s="326"/>
      <c r="AM1370" s="326"/>
      <c r="AN1370" s="326"/>
    </row>
    <row r="1371" spans="1:40" x14ac:dyDescent="0.15">
      <c r="A1371" s="327"/>
      <c r="B1371" s="320"/>
      <c r="C1371" s="320"/>
      <c r="D1371" s="320"/>
      <c r="E1371" s="320"/>
      <c r="F1371" s="320"/>
      <c r="G1371" s="320"/>
      <c r="H1371" s="320"/>
      <c r="I1371" s="320"/>
      <c r="J1371" s="320"/>
      <c r="K1371" s="320"/>
      <c r="L1371" s="320"/>
      <c r="M1371" s="320"/>
      <c r="N1371" s="320"/>
      <c r="O1371" s="321"/>
      <c r="P1371" s="321"/>
      <c r="Y1371" s="326"/>
      <c r="Z1371" s="326"/>
      <c r="AA1371" s="326"/>
      <c r="AB1371" s="326"/>
      <c r="AC1371" s="326"/>
      <c r="AD1371" s="326"/>
      <c r="AG1371" s="326"/>
      <c r="AH1371" s="326"/>
      <c r="AI1371" s="326"/>
      <c r="AL1371" s="326"/>
      <c r="AM1371" s="326"/>
      <c r="AN1371" s="326"/>
    </row>
    <row r="1372" spans="1:40" x14ac:dyDescent="0.15">
      <c r="A1372" s="327"/>
      <c r="B1372" s="320"/>
      <c r="C1372" s="320"/>
      <c r="D1372" s="320"/>
      <c r="E1372" s="320"/>
      <c r="F1372" s="320"/>
      <c r="G1372" s="320"/>
      <c r="H1372" s="320"/>
      <c r="I1372" s="320"/>
      <c r="J1372" s="320"/>
      <c r="K1372" s="320"/>
      <c r="L1372" s="320"/>
      <c r="M1372" s="320"/>
      <c r="N1372" s="320"/>
      <c r="O1372" s="321"/>
      <c r="P1372" s="321"/>
      <c r="Y1372" s="326"/>
      <c r="Z1372" s="326"/>
      <c r="AA1372" s="326"/>
      <c r="AB1372" s="326"/>
      <c r="AC1372" s="326"/>
      <c r="AD1372" s="326"/>
      <c r="AG1372" s="326"/>
      <c r="AH1372" s="326"/>
      <c r="AI1372" s="326"/>
      <c r="AL1372" s="326"/>
      <c r="AM1372" s="326"/>
      <c r="AN1372" s="326"/>
    </row>
    <row r="1373" spans="1:40" x14ac:dyDescent="0.15">
      <c r="A1373" s="327"/>
      <c r="B1373" s="320"/>
      <c r="C1373" s="320"/>
      <c r="D1373" s="320"/>
      <c r="E1373" s="320"/>
      <c r="F1373" s="320"/>
      <c r="G1373" s="320"/>
      <c r="H1373" s="320"/>
      <c r="I1373" s="320"/>
      <c r="J1373" s="320"/>
      <c r="K1373" s="320"/>
      <c r="L1373" s="320"/>
      <c r="M1373" s="320"/>
      <c r="N1373" s="320"/>
      <c r="O1373" s="321"/>
      <c r="P1373" s="321"/>
      <c r="Y1373" s="326"/>
      <c r="Z1373" s="326"/>
      <c r="AA1373" s="326"/>
      <c r="AB1373" s="326"/>
      <c r="AC1373" s="326"/>
      <c r="AD1373" s="326"/>
      <c r="AG1373" s="326"/>
      <c r="AH1373" s="326"/>
      <c r="AI1373" s="326"/>
      <c r="AL1373" s="326"/>
      <c r="AM1373" s="326"/>
      <c r="AN1373" s="326"/>
    </row>
    <row r="1374" spans="1:40" x14ac:dyDescent="0.15">
      <c r="A1374" s="327"/>
      <c r="B1374" s="320"/>
      <c r="C1374" s="320"/>
      <c r="D1374" s="320"/>
      <c r="E1374" s="320"/>
      <c r="F1374" s="320"/>
      <c r="G1374" s="320"/>
      <c r="H1374" s="320"/>
      <c r="I1374" s="320"/>
      <c r="J1374" s="320"/>
      <c r="K1374" s="320"/>
      <c r="L1374" s="320"/>
      <c r="M1374" s="320"/>
      <c r="N1374" s="320"/>
      <c r="O1374" s="321"/>
      <c r="P1374" s="321"/>
      <c r="Y1374" s="326"/>
      <c r="Z1374" s="326"/>
      <c r="AA1374" s="326"/>
      <c r="AB1374" s="326"/>
      <c r="AC1374" s="326"/>
      <c r="AD1374" s="326"/>
      <c r="AG1374" s="326"/>
      <c r="AH1374" s="326"/>
      <c r="AI1374" s="326"/>
      <c r="AL1374" s="326"/>
      <c r="AM1374" s="326"/>
      <c r="AN1374" s="326"/>
    </row>
    <row r="1375" spans="1:40" x14ac:dyDescent="0.15">
      <c r="A1375" s="327"/>
      <c r="B1375" s="320"/>
      <c r="C1375" s="320"/>
      <c r="D1375" s="320"/>
      <c r="E1375" s="320"/>
      <c r="F1375" s="320"/>
      <c r="G1375" s="320"/>
      <c r="H1375" s="320"/>
      <c r="I1375" s="320"/>
      <c r="J1375" s="320"/>
      <c r="K1375" s="320"/>
      <c r="L1375" s="320"/>
      <c r="M1375" s="320"/>
      <c r="N1375" s="320"/>
      <c r="O1375" s="321"/>
      <c r="P1375" s="321"/>
      <c r="Y1375" s="326"/>
      <c r="Z1375" s="326"/>
      <c r="AA1375" s="326"/>
      <c r="AB1375" s="326"/>
      <c r="AC1375" s="326"/>
      <c r="AD1375" s="326"/>
      <c r="AG1375" s="326"/>
      <c r="AH1375" s="326"/>
      <c r="AI1375" s="326"/>
      <c r="AL1375" s="326"/>
      <c r="AM1375" s="326"/>
      <c r="AN1375" s="326"/>
    </row>
    <row r="1376" spans="1:40" x14ac:dyDescent="0.15">
      <c r="A1376" s="327"/>
      <c r="B1376" s="320"/>
      <c r="C1376" s="320"/>
      <c r="D1376" s="320"/>
      <c r="E1376" s="320"/>
      <c r="F1376" s="320"/>
      <c r="G1376" s="320"/>
      <c r="H1376" s="320"/>
      <c r="I1376" s="320"/>
      <c r="J1376" s="320"/>
      <c r="K1376" s="320"/>
      <c r="L1376" s="320"/>
      <c r="M1376" s="320"/>
      <c r="N1376" s="320"/>
      <c r="O1376" s="321"/>
      <c r="P1376" s="321"/>
      <c r="Y1376" s="326"/>
      <c r="Z1376" s="326"/>
      <c r="AA1376" s="326"/>
      <c r="AB1376" s="326"/>
      <c r="AC1376" s="326"/>
      <c r="AD1376" s="326"/>
      <c r="AG1376" s="326"/>
      <c r="AH1376" s="326"/>
      <c r="AI1376" s="326"/>
      <c r="AL1376" s="326"/>
      <c r="AM1376" s="326"/>
      <c r="AN1376" s="326"/>
    </row>
    <row r="1377" spans="1:40" x14ac:dyDescent="0.15">
      <c r="A1377" s="327"/>
      <c r="B1377" s="320"/>
      <c r="C1377" s="320"/>
      <c r="D1377" s="320"/>
      <c r="E1377" s="320"/>
      <c r="F1377" s="320"/>
      <c r="G1377" s="320"/>
      <c r="H1377" s="320"/>
      <c r="I1377" s="320"/>
      <c r="J1377" s="320"/>
      <c r="K1377" s="320"/>
      <c r="L1377" s="320"/>
      <c r="M1377" s="320"/>
      <c r="N1377" s="320"/>
      <c r="O1377" s="321"/>
      <c r="P1377" s="321"/>
      <c r="Y1377" s="326"/>
      <c r="Z1377" s="326"/>
      <c r="AA1377" s="326"/>
      <c r="AB1377" s="326"/>
      <c r="AC1377" s="326"/>
      <c r="AD1377" s="326"/>
      <c r="AG1377" s="326"/>
      <c r="AH1377" s="326"/>
      <c r="AI1377" s="326"/>
      <c r="AL1377" s="326"/>
      <c r="AM1377" s="326"/>
      <c r="AN1377" s="326"/>
    </row>
    <row r="1378" spans="1:40" x14ac:dyDescent="0.15">
      <c r="A1378" s="327"/>
      <c r="B1378" s="320"/>
      <c r="C1378" s="320"/>
      <c r="D1378" s="320"/>
      <c r="E1378" s="320"/>
      <c r="F1378" s="320"/>
      <c r="G1378" s="320"/>
      <c r="H1378" s="320"/>
      <c r="I1378" s="320"/>
      <c r="J1378" s="320"/>
      <c r="K1378" s="320"/>
      <c r="L1378" s="320"/>
      <c r="M1378" s="320"/>
      <c r="N1378" s="320"/>
      <c r="O1378" s="321"/>
      <c r="P1378" s="321"/>
      <c r="Y1378" s="326"/>
      <c r="Z1378" s="326"/>
      <c r="AA1378" s="326"/>
      <c r="AB1378" s="326"/>
      <c r="AC1378" s="326"/>
      <c r="AD1378" s="326"/>
      <c r="AG1378" s="326"/>
      <c r="AH1378" s="326"/>
      <c r="AI1378" s="326"/>
      <c r="AL1378" s="326"/>
      <c r="AM1378" s="326"/>
      <c r="AN1378" s="326"/>
    </row>
    <row r="1379" spans="1:40" x14ac:dyDescent="0.15">
      <c r="A1379" s="327"/>
      <c r="B1379" s="320"/>
      <c r="C1379" s="320"/>
      <c r="D1379" s="320"/>
      <c r="E1379" s="320"/>
      <c r="F1379" s="320"/>
      <c r="G1379" s="320"/>
      <c r="H1379" s="320"/>
      <c r="I1379" s="320"/>
      <c r="J1379" s="320"/>
      <c r="K1379" s="320"/>
      <c r="L1379" s="320"/>
      <c r="M1379" s="320"/>
      <c r="N1379" s="320"/>
      <c r="O1379" s="321"/>
      <c r="P1379" s="321"/>
      <c r="Y1379" s="326"/>
      <c r="Z1379" s="326"/>
      <c r="AA1379" s="326"/>
      <c r="AB1379" s="326"/>
      <c r="AC1379" s="326"/>
      <c r="AD1379" s="326"/>
      <c r="AG1379" s="326"/>
      <c r="AH1379" s="326"/>
      <c r="AI1379" s="326"/>
      <c r="AL1379" s="326"/>
      <c r="AM1379" s="326"/>
      <c r="AN1379" s="326"/>
    </row>
    <row r="1380" spans="1:40" x14ac:dyDescent="0.15">
      <c r="A1380" s="327"/>
      <c r="B1380" s="320"/>
      <c r="C1380" s="320"/>
      <c r="D1380" s="320"/>
      <c r="E1380" s="320"/>
      <c r="F1380" s="320"/>
      <c r="G1380" s="320"/>
      <c r="H1380" s="320"/>
      <c r="I1380" s="320"/>
      <c r="J1380" s="320"/>
      <c r="K1380" s="320"/>
      <c r="L1380" s="320"/>
      <c r="M1380" s="320"/>
      <c r="N1380" s="320"/>
      <c r="O1380" s="321"/>
      <c r="P1380" s="321"/>
      <c r="Y1380" s="326"/>
      <c r="Z1380" s="326"/>
      <c r="AA1380" s="326"/>
      <c r="AB1380" s="326"/>
      <c r="AC1380" s="326"/>
      <c r="AD1380" s="326"/>
      <c r="AG1380" s="326"/>
      <c r="AH1380" s="326"/>
      <c r="AI1380" s="326"/>
      <c r="AL1380" s="326"/>
      <c r="AM1380" s="326"/>
      <c r="AN1380" s="326"/>
    </row>
    <row r="1381" spans="1:40" x14ac:dyDescent="0.15">
      <c r="A1381" s="327"/>
      <c r="B1381" s="320"/>
      <c r="C1381" s="320"/>
      <c r="D1381" s="320"/>
      <c r="E1381" s="320"/>
      <c r="F1381" s="320"/>
      <c r="G1381" s="320"/>
      <c r="H1381" s="320"/>
      <c r="I1381" s="320"/>
      <c r="J1381" s="320"/>
      <c r="K1381" s="320"/>
      <c r="L1381" s="320"/>
      <c r="M1381" s="320"/>
      <c r="N1381" s="320"/>
      <c r="O1381" s="321"/>
      <c r="P1381" s="321"/>
      <c r="Y1381" s="326"/>
      <c r="Z1381" s="326"/>
      <c r="AA1381" s="326"/>
      <c r="AB1381" s="326"/>
      <c r="AC1381" s="326"/>
      <c r="AD1381" s="326"/>
      <c r="AG1381" s="326"/>
      <c r="AH1381" s="326"/>
      <c r="AI1381" s="326"/>
      <c r="AL1381" s="326"/>
      <c r="AM1381" s="326"/>
      <c r="AN1381" s="326"/>
    </row>
    <row r="1382" spans="1:40" x14ac:dyDescent="0.15">
      <c r="A1382" s="327"/>
      <c r="B1382" s="320"/>
      <c r="C1382" s="320"/>
      <c r="D1382" s="320"/>
      <c r="E1382" s="320"/>
      <c r="F1382" s="320"/>
      <c r="G1382" s="320"/>
      <c r="H1382" s="320"/>
      <c r="I1382" s="320"/>
      <c r="J1382" s="320"/>
      <c r="K1382" s="320"/>
      <c r="L1382" s="320"/>
      <c r="M1382" s="320"/>
      <c r="N1382" s="320"/>
      <c r="O1382" s="321"/>
      <c r="P1382" s="321"/>
      <c r="Y1382" s="326"/>
      <c r="Z1382" s="326"/>
      <c r="AA1382" s="326"/>
      <c r="AB1382" s="326"/>
      <c r="AC1382" s="326"/>
      <c r="AD1382" s="326"/>
      <c r="AG1382" s="326"/>
      <c r="AH1382" s="326"/>
      <c r="AI1382" s="326"/>
      <c r="AL1382" s="326"/>
      <c r="AM1382" s="326"/>
      <c r="AN1382" s="326"/>
    </row>
    <row r="1383" spans="1:40" x14ac:dyDescent="0.15">
      <c r="A1383" s="327"/>
      <c r="B1383" s="320"/>
      <c r="C1383" s="320"/>
      <c r="D1383" s="320"/>
      <c r="E1383" s="320"/>
      <c r="F1383" s="320"/>
      <c r="G1383" s="320"/>
      <c r="H1383" s="320"/>
      <c r="I1383" s="320"/>
      <c r="J1383" s="320"/>
      <c r="K1383" s="320"/>
      <c r="L1383" s="320"/>
      <c r="M1383" s="320"/>
      <c r="N1383" s="320"/>
      <c r="O1383" s="321"/>
      <c r="P1383" s="321"/>
      <c r="Y1383" s="326"/>
      <c r="Z1383" s="326"/>
      <c r="AA1383" s="326"/>
      <c r="AB1383" s="326"/>
      <c r="AC1383" s="326"/>
      <c r="AD1383" s="326"/>
      <c r="AG1383" s="326"/>
      <c r="AH1383" s="326"/>
      <c r="AI1383" s="326"/>
      <c r="AL1383" s="326"/>
      <c r="AM1383" s="326"/>
      <c r="AN1383" s="326"/>
    </row>
    <row r="1384" spans="1:40" x14ac:dyDescent="0.15">
      <c r="A1384" s="327"/>
      <c r="B1384" s="320"/>
      <c r="C1384" s="320"/>
      <c r="D1384" s="320"/>
      <c r="E1384" s="320"/>
      <c r="F1384" s="320"/>
      <c r="G1384" s="320"/>
      <c r="H1384" s="320"/>
      <c r="I1384" s="320"/>
      <c r="J1384" s="320"/>
      <c r="K1384" s="320"/>
      <c r="L1384" s="320"/>
      <c r="M1384" s="320"/>
      <c r="N1384" s="320"/>
      <c r="O1384" s="321"/>
      <c r="P1384" s="321"/>
      <c r="Y1384" s="326"/>
      <c r="Z1384" s="326"/>
      <c r="AA1384" s="326"/>
      <c r="AB1384" s="326"/>
      <c r="AC1384" s="326"/>
      <c r="AD1384" s="326"/>
      <c r="AG1384" s="326"/>
      <c r="AH1384" s="326"/>
      <c r="AI1384" s="326"/>
      <c r="AL1384" s="326"/>
      <c r="AM1384" s="326"/>
      <c r="AN1384" s="326"/>
    </row>
    <row r="1385" spans="1:40" x14ac:dyDescent="0.15">
      <c r="A1385" s="327"/>
      <c r="B1385" s="320"/>
      <c r="C1385" s="320"/>
      <c r="D1385" s="320"/>
      <c r="E1385" s="320"/>
      <c r="F1385" s="320"/>
      <c r="G1385" s="320"/>
      <c r="H1385" s="320"/>
      <c r="I1385" s="320"/>
      <c r="J1385" s="320"/>
      <c r="K1385" s="320"/>
      <c r="L1385" s="320"/>
      <c r="M1385" s="320"/>
      <c r="N1385" s="320"/>
      <c r="O1385" s="321"/>
      <c r="P1385" s="321"/>
      <c r="Y1385" s="326"/>
      <c r="Z1385" s="326"/>
      <c r="AA1385" s="326"/>
      <c r="AB1385" s="326"/>
      <c r="AC1385" s="326"/>
      <c r="AD1385" s="326"/>
      <c r="AG1385" s="326"/>
      <c r="AH1385" s="326"/>
      <c r="AI1385" s="326"/>
      <c r="AL1385" s="326"/>
      <c r="AM1385" s="326"/>
      <c r="AN1385" s="326"/>
    </row>
    <row r="1386" spans="1:40" x14ac:dyDescent="0.15">
      <c r="A1386" s="327"/>
      <c r="B1386" s="320"/>
      <c r="C1386" s="320"/>
      <c r="D1386" s="320"/>
      <c r="E1386" s="320"/>
      <c r="F1386" s="320"/>
      <c r="G1386" s="320"/>
      <c r="H1386" s="320"/>
      <c r="I1386" s="320"/>
      <c r="J1386" s="320"/>
      <c r="K1386" s="320"/>
      <c r="L1386" s="320"/>
      <c r="M1386" s="320"/>
      <c r="N1386" s="320"/>
      <c r="O1386" s="321"/>
      <c r="P1386" s="321"/>
      <c r="Y1386" s="326"/>
      <c r="Z1386" s="326"/>
      <c r="AA1386" s="326"/>
      <c r="AB1386" s="326"/>
      <c r="AC1386" s="326"/>
      <c r="AD1386" s="326"/>
      <c r="AG1386" s="326"/>
      <c r="AH1386" s="326"/>
      <c r="AI1386" s="326"/>
      <c r="AL1386" s="326"/>
      <c r="AM1386" s="326"/>
      <c r="AN1386" s="326"/>
    </row>
    <row r="1387" spans="1:40" x14ac:dyDescent="0.15">
      <c r="A1387" s="327"/>
      <c r="B1387" s="320"/>
      <c r="C1387" s="320"/>
      <c r="D1387" s="320"/>
      <c r="E1387" s="320"/>
      <c r="F1387" s="320"/>
      <c r="G1387" s="320"/>
      <c r="H1387" s="320"/>
      <c r="I1387" s="320"/>
      <c r="J1387" s="320"/>
      <c r="K1387" s="320"/>
      <c r="L1387" s="320"/>
      <c r="M1387" s="320"/>
      <c r="N1387" s="320"/>
      <c r="O1387" s="321"/>
      <c r="P1387" s="321"/>
      <c r="Y1387" s="326"/>
      <c r="Z1387" s="326"/>
      <c r="AA1387" s="326"/>
      <c r="AB1387" s="326"/>
      <c r="AC1387" s="326"/>
      <c r="AD1387" s="326"/>
      <c r="AG1387" s="326"/>
      <c r="AH1387" s="326"/>
      <c r="AI1387" s="326"/>
      <c r="AL1387" s="326"/>
      <c r="AM1387" s="326"/>
      <c r="AN1387" s="326"/>
    </row>
    <row r="1388" spans="1:40" x14ac:dyDescent="0.15">
      <c r="A1388" s="327"/>
      <c r="B1388" s="320"/>
      <c r="C1388" s="320"/>
      <c r="D1388" s="320"/>
      <c r="E1388" s="320"/>
      <c r="F1388" s="320"/>
      <c r="G1388" s="320"/>
      <c r="H1388" s="320"/>
      <c r="I1388" s="320"/>
      <c r="J1388" s="320"/>
      <c r="K1388" s="320"/>
      <c r="L1388" s="320"/>
      <c r="M1388" s="320"/>
      <c r="N1388" s="320"/>
      <c r="O1388" s="321"/>
      <c r="P1388" s="321"/>
      <c r="Y1388" s="326"/>
      <c r="Z1388" s="326"/>
      <c r="AA1388" s="326"/>
      <c r="AB1388" s="326"/>
      <c r="AC1388" s="326"/>
      <c r="AD1388" s="326"/>
      <c r="AG1388" s="326"/>
      <c r="AH1388" s="326"/>
      <c r="AI1388" s="326"/>
      <c r="AL1388" s="326"/>
      <c r="AM1388" s="326"/>
      <c r="AN1388" s="326"/>
    </row>
    <row r="1389" spans="1:40" x14ac:dyDescent="0.15">
      <c r="A1389" s="327"/>
      <c r="B1389" s="320"/>
      <c r="C1389" s="320"/>
      <c r="D1389" s="320"/>
      <c r="E1389" s="320"/>
      <c r="F1389" s="320"/>
      <c r="G1389" s="320"/>
      <c r="H1389" s="320"/>
      <c r="I1389" s="320"/>
      <c r="J1389" s="320"/>
      <c r="K1389" s="320"/>
      <c r="L1389" s="320"/>
      <c r="M1389" s="320"/>
      <c r="N1389" s="320"/>
      <c r="O1389" s="321"/>
      <c r="P1389" s="321"/>
      <c r="Y1389" s="326"/>
      <c r="Z1389" s="326"/>
      <c r="AA1389" s="326"/>
      <c r="AB1389" s="326"/>
      <c r="AC1389" s="326"/>
      <c r="AD1389" s="326"/>
      <c r="AG1389" s="326"/>
      <c r="AH1389" s="326"/>
      <c r="AI1389" s="326"/>
      <c r="AL1389" s="326"/>
      <c r="AM1389" s="326"/>
      <c r="AN1389" s="326"/>
    </row>
    <row r="1390" spans="1:40" x14ac:dyDescent="0.15">
      <c r="A1390" s="327"/>
      <c r="B1390" s="320"/>
      <c r="C1390" s="320"/>
      <c r="D1390" s="320"/>
      <c r="E1390" s="320"/>
      <c r="F1390" s="320"/>
      <c r="G1390" s="320"/>
      <c r="H1390" s="320"/>
      <c r="I1390" s="320"/>
      <c r="J1390" s="320"/>
      <c r="K1390" s="320"/>
      <c r="L1390" s="320"/>
      <c r="M1390" s="320"/>
      <c r="N1390" s="320"/>
      <c r="O1390" s="321"/>
      <c r="P1390" s="321"/>
      <c r="Y1390" s="326"/>
      <c r="Z1390" s="326"/>
      <c r="AA1390" s="326"/>
      <c r="AB1390" s="326"/>
      <c r="AC1390" s="326"/>
      <c r="AD1390" s="326"/>
      <c r="AG1390" s="326"/>
      <c r="AH1390" s="326"/>
      <c r="AI1390" s="326"/>
      <c r="AL1390" s="326"/>
      <c r="AM1390" s="326"/>
      <c r="AN1390" s="326"/>
    </row>
    <row r="1391" spans="1:40" x14ac:dyDescent="0.15">
      <c r="A1391" s="327"/>
      <c r="B1391" s="320"/>
      <c r="C1391" s="320"/>
      <c r="D1391" s="320"/>
      <c r="E1391" s="320"/>
      <c r="F1391" s="320"/>
      <c r="G1391" s="320"/>
      <c r="H1391" s="320"/>
      <c r="I1391" s="320"/>
      <c r="J1391" s="320"/>
      <c r="K1391" s="320"/>
      <c r="L1391" s="320"/>
      <c r="M1391" s="320"/>
      <c r="N1391" s="320"/>
      <c r="O1391" s="321"/>
      <c r="P1391" s="321"/>
      <c r="Y1391" s="326"/>
      <c r="Z1391" s="326"/>
      <c r="AA1391" s="326"/>
      <c r="AB1391" s="326"/>
      <c r="AC1391" s="326"/>
      <c r="AD1391" s="326"/>
      <c r="AG1391" s="326"/>
      <c r="AH1391" s="326"/>
      <c r="AI1391" s="326"/>
      <c r="AL1391" s="326"/>
      <c r="AM1391" s="326"/>
      <c r="AN1391" s="326"/>
    </row>
    <row r="1392" spans="1:40" x14ac:dyDescent="0.15">
      <c r="A1392" s="327"/>
      <c r="B1392" s="320"/>
      <c r="C1392" s="320"/>
      <c r="D1392" s="320"/>
      <c r="E1392" s="320"/>
      <c r="F1392" s="320"/>
      <c r="G1392" s="320"/>
      <c r="H1392" s="320"/>
      <c r="I1392" s="320"/>
      <c r="J1392" s="320"/>
      <c r="K1392" s="320"/>
      <c r="L1392" s="320"/>
      <c r="M1392" s="320"/>
      <c r="N1392" s="320"/>
      <c r="O1392" s="321"/>
      <c r="P1392" s="321"/>
      <c r="Y1392" s="326"/>
      <c r="Z1392" s="326"/>
      <c r="AA1392" s="326"/>
      <c r="AB1392" s="326"/>
      <c r="AC1392" s="326"/>
      <c r="AD1392" s="326"/>
      <c r="AG1392" s="326"/>
      <c r="AH1392" s="326"/>
      <c r="AI1392" s="326"/>
      <c r="AL1392" s="326"/>
      <c r="AM1392" s="326"/>
      <c r="AN1392" s="326"/>
    </row>
    <row r="1393" spans="1:40" x14ac:dyDescent="0.15">
      <c r="A1393" s="327"/>
      <c r="B1393" s="320"/>
      <c r="C1393" s="320"/>
      <c r="D1393" s="320"/>
      <c r="E1393" s="320"/>
      <c r="F1393" s="320"/>
      <c r="G1393" s="320"/>
      <c r="H1393" s="320"/>
      <c r="I1393" s="320"/>
      <c r="J1393" s="320"/>
      <c r="K1393" s="320"/>
      <c r="L1393" s="320"/>
      <c r="M1393" s="320"/>
      <c r="N1393" s="320"/>
      <c r="O1393" s="321"/>
      <c r="P1393" s="321"/>
      <c r="Y1393" s="326"/>
      <c r="Z1393" s="326"/>
      <c r="AA1393" s="326"/>
      <c r="AB1393" s="326"/>
      <c r="AC1393" s="326"/>
      <c r="AD1393" s="326"/>
      <c r="AG1393" s="326"/>
      <c r="AH1393" s="326"/>
      <c r="AI1393" s="326"/>
      <c r="AL1393" s="326"/>
      <c r="AM1393" s="326"/>
      <c r="AN1393" s="326"/>
    </row>
    <row r="1394" spans="1:40" x14ac:dyDescent="0.15">
      <c r="A1394" s="327"/>
      <c r="B1394" s="320"/>
      <c r="C1394" s="320"/>
      <c r="D1394" s="320"/>
      <c r="E1394" s="320"/>
      <c r="F1394" s="320"/>
      <c r="G1394" s="320"/>
      <c r="H1394" s="320"/>
      <c r="I1394" s="320"/>
      <c r="J1394" s="320"/>
      <c r="K1394" s="320"/>
      <c r="L1394" s="320"/>
      <c r="M1394" s="320"/>
      <c r="N1394" s="320"/>
      <c r="O1394" s="321"/>
      <c r="P1394" s="321"/>
      <c r="Y1394" s="326"/>
      <c r="Z1394" s="326"/>
      <c r="AA1394" s="326"/>
      <c r="AB1394" s="326"/>
      <c r="AC1394" s="326"/>
      <c r="AD1394" s="326"/>
      <c r="AG1394" s="326"/>
      <c r="AH1394" s="326"/>
      <c r="AI1394" s="326"/>
      <c r="AL1394" s="326"/>
      <c r="AM1394" s="326"/>
      <c r="AN1394" s="326"/>
    </row>
    <row r="1395" spans="1:40" x14ac:dyDescent="0.15">
      <c r="A1395" s="327"/>
      <c r="B1395" s="320"/>
      <c r="C1395" s="320"/>
      <c r="D1395" s="320"/>
      <c r="E1395" s="320"/>
      <c r="F1395" s="320"/>
      <c r="G1395" s="320"/>
      <c r="H1395" s="320"/>
      <c r="I1395" s="320"/>
      <c r="J1395" s="320"/>
      <c r="K1395" s="320"/>
      <c r="L1395" s="320"/>
      <c r="M1395" s="320"/>
      <c r="N1395" s="320"/>
      <c r="O1395" s="321"/>
      <c r="P1395" s="321"/>
      <c r="Y1395" s="326"/>
      <c r="Z1395" s="326"/>
      <c r="AA1395" s="326"/>
      <c r="AB1395" s="326"/>
      <c r="AC1395" s="326"/>
      <c r="AD1395" s="326"/>
      <c r="AG1395" s="326"/>
      <c r="AH1395" s="326"/>
      <c r="AI1395" s="326"/>
      <c r="AL1395" s="326"/>
      <c r="AM1395" s="326"/>
      <c r="AN1395" s="326"/>
    </row>
    <row r="1396" spans="1:40" x14ac:dyDescent="0.15">
      <c r="A1396" s="327"/>
      <c r="B1396" s="320"/>
      <c r="C1396" s="320"/>
      <c r="D1396" s="320"/>
      <c r="E1396" s="320"/>
      <c r="F1396" s="320"/>
      <c r="G1396" s="320"/>
      <c r="H1396" s="320"/>
      <c r="I1396" s="320"/>
      <c r="J1396" s="320"/>
      <c r="K1396" s="320"/>
      <c r="L1396" s="320"/>
      <c r="M1396" s="320"/>
      <c r="N1396" s="320"/>
      <c r="O1396" s="321"/>
      <c r="P1396" s="321"/>
      <c r="Y1396" s="326"/>
      <c r="Z1396" s="326"/>
      <c r="AA1396" s="326"/>
      <c r="AB1396" s="326"/>
      <c r="AC1396" s="326"/>
      <c r="AD1396" s="326"/>
      <c r="AG1396" s="326"/>
      <c r="AH1396" s="326"/>
      <c r="AI1396" s="326"/>
      <c r="AL1396" s="326"/>
      <c r="AM1396" s="326"/>
      <c r="AN1396" s="326"/>
    </row>
    <row r="1397" spans="1:40" x14ac:dyDescent="0.15">
      <c r="A1397" s="327"/>
      <c r="B1397" s="320"/>
      <c r="C1397" s="320"/>
      <c r="D1397" s="320"/>
      <c r="E1397" s="320"/>
      <c r="F1397" s="320"/>
      <c r="G1397" s="320"/>
      <c r="H1397" s="320"/>
      <c r="I1397" s="320"/>
      <c r="J1397" s="320"/>
      <c r="K1397" s="320"/>
      <c r="L1397" s="320"/>
      <c r="M1397" s="320"/>
      <c r="N1397" s="320"/>
      <c r="O1397" s="321"/>
      <c r="P1397" s="321"/>
      <c r="Y1397" s="326"/>
      <c r="Z1397" s="326"/>
      <c r="AA1397" s="326"/>
      <c r="AB1397" s="326"/>
      <c r="AC1397" s="326"/>
      <c r="AD1397" s="326"/>
      <c r="AG1397" s="326"/>
      <c r="AH1397" s="326"/>
      <c r="AI1397" s="326"/>
      <c r="AL1397" s="326"/>
      <c r="AM1397" s="326"/>
      <c r="AN1397" s="326"/>
    </row>
    <row r="1398" spans="1:40" x14ac:dyDescent="0.15">
      <c r="A1398" s="327"/>
      <c r="B1398" s="320"/>
      <c r="C1398" s="320"/>
      <c r="D1398" s="320"/>
      <c r="E1398" s="320"/>
      <c r="F1398" s="320"/>
      <c r="G1398" s="320"/>
      <c r="H1398" s="320"/>
      <c r="I1398" s="320"/>
      <c r="J1398" s="320"/>
      <c r="K1398" s="320"/>
      <c r="L1398" s="320"/>
      <c r="M1398" s="320"/>
      <c r="N1398" s="320"/>
      <c r="O1398" s="321"/>
      <c r="P1398" s="321"/>
      <c r="Y1398" s="326"/>
      <c r="Z1398" s="326"/>
      <c r="AA1398" s="326"/>
      <c r="AB1398" s="326"/>
      <c r="AC1398" s="326"/>
      <c r="AD1398" s="326"/>
      <c r="AG1398" s="326"/>
      <c r="AH1398" s="326"/>
      <c r="AI1398" s="326"/>
      <c r="AL1398" s="326"/>
      <c r="AM1398" s="326"/>
      <c r="AN1398" s="326"/>
    </row>
    <row r="1399" spans="1:40" x14ac:dyDescent="0.15">
      <c r="A1399" s="327"/>
      <c r="B1399" s="320"/>
      <c r="C1399" s="320"/>
      <c r="D1399" s="320"/>
      <c r="E1399" s="320"/>
      <c r="F1399" s="320"/>
      <c r="G1399" s="320"/>
      <c r="H1399" s="320"/>
      <c r="I1399" s="320"/>
      <c r="J1399" s="320"/>
      <c r="K1399" s="320"/>
      <c r="L1399" s="320"/>
      <c r="M1399" s="320"/>
      <c r="N1399" s="320"/>
      <c r="O1399" s="321"/>
      <c r="P1399" s="321"/>
      <c r="Y1399" s="326"/>
      <c r="Z1399" s="326"/>
      <c r="AA1399" s="326"/>
      <c r="AB1399" s="326"/>
      <c r="AC1399" s="326"/>
      <c r="AD1399" s="326"/>
      <c r="AG1399" s="326"/>
      <c r="AH1399" s="326"/>
      <c r="AI1399" s="326"/>
      <c r="AL1399" s="326"/>
      <c r="AM1399" s="326"/>
      <c r="AN1399" s="326"/>
    </row>
    <row r="1400" spans="1:40" x14ac:dyDescent="0.15">
      <c r="A1400" s="327"/>
      <c r="B1400" s="320"/>
      <c r="C1400" s="320"/>
      <c r="D1400" s="320"/>
      <c r="E1400" s="320"/>
      <c r="F1400" s="320"/>
      <c r="G1400" s="320"/>
      <c r="H1400" s="320"/>
      <c r="I1400" s="320"/>
      <c r="J1400" s="320"/>
      <c r="K1400" s="320"/>
      <c r="L1400" s="320"/>
      <c r="M1400" s="320"/>
      <c r="N1400" s="320"/>
      <c r="O1400" s="321"/>
      <c r="P1400" s="321"/>
      <c r="Y1400" s="326"/>
      <c r="Z1400" s="326"/>
      <c r="AA1400" s="326"/>
      <c r="AB1400" s="326"/>
      <c r="AC1400" s="326"/>
      <c r="AD1400" s="326"/>
      <c r="AG1400" s="326"/>
      <c r="AH1400" s="326"/>
      <c r="AI1400" s="326"/>
      <c r="AL1400" s="326"/>
      <c r="AM1400" s="326"/>
      <c r="AN1400" s="326"/>
    </row>
    <row r="1401" spans="1:40" x14ac:dyDescent="0.15">
      <c r="A1401" s="327"/>
      <c r="B1401" s="320"/>
      <c r="C1401" s="320"/>
      <c r="D1401" s="320"/>
      <c r="E1401" s="320"/>
      <c r="F1401" s="320"/>
      <c r="G1401" s="320"/>
      <c r="H1401" s="320"/>
      <c r="I1401" s="320"/>
      <c r="J1401" s="320"/>
      <c r="K1401" s="320"/>
      <c r="L1401" s="320"/>
      <c r="M1401" s="320"/>
      <c r="N1401" s="320"/>
      <c r="O1401" s="321"/>
      <c r="P1401" s="321"/>
      <c r="Y1401" s="326"/>
      <c r="Z1401" s="326"/>
      <c r="AA1401" s="326"/>
      <c r="AB1401" s="326"/>
      <c r="AC1401" s="326"/>
      <c r="AD1401" s="326"/>
      <c r="AG1401" s="326"/>
      <c r="AH1401" s="326"/>
      <c r="AI1401" s="326"/>
      <c r="AL1401" s="326"/>
      <c r="AM1401" s="326"/>
      <c r="AN1401" s="326"/>
    </row>
    <row r="1402" spans="1:40" x14ac:dyDescent="0.15">
      <c r="A1402" s="327"/>
      <c r="B1402" s="320"/>
      <c r="C1402" s="320"/>
      <c r="D1402" s="320"/>
      <c r="E1402" s="320"/>
      <c r="F1402" s="320"/>
      <c r="G1402" s="320"/>
      <c r="H1402" s="320"/>
      <c r="I1402" s="320"/>
      <c r="J1402" s="320"/>
      <c r="K1402" s="320"/>
      <c r="L1402" s="320"/>
      <c r="M1402" s="320"/>
      <c r="N1402" s="320"/>
      <c r="O1402" s="321"/>
      <c r="P1402" s="321"/>
      <c r="Y1402" s="326"/>
      <c r="Z1402" s="326"/>
      <c r="AA1402" s="326"/>
      <c r="AB1402" s="326"/>
      <c r="AC1402" s="326"/>
      <c r="AD1402" s="326"/>
      <c r="AG1402" s="326"/>
      <c r="AH1402" s="326"/>
      <c r="AI1402" s="326"/>
      <c r="AL1402" s="326"/>
      <c r="AM1402" s="326"/>
      <c r="AN1402" s="326"/>
    </row>
    <row r="1403" spans="1:40" x14ac:dyDescent="0.15">
      <c r="A1403" s="327"/>
      <c r="B1403" s="320"/>
      <c r="C1403" s="320"/>
      <c r="D1403" s="320"/>
      <c r="E1403" s="320"/>
      <c r="F1403" s="320"/>
      <c r="G1403" s="320"/>
      <c r="H1403" s="320"/>
      <c r="I1403" s="320"/>
      <c r="J1403" s="320"/>
      <c r="K1403" s="320"/>
      <c r="L1403" s="320"/>
      <c r="M1403" s="320"/>
      <c r="N1403" s="320"/>
      <c r="O1403" s="321"/>
      <c r="P1403" s="321"/>
      <c r="Y1403" s="326"/>
      <c r="Z1403" s="326"/>
      <c r="AA1403" s="326"/>
      <c r="AB1403" s="326"/>
      <c r="AC1403" s="326"/>
      <c r="AD1403" s="326"/>
      <c r="AG1403" s="326"/>
      <c r="AH1403" s="326"/>
      <c r="AI1403" s="326"/>
      <c r="AL1403" s="326"/>
      <c r="AM1403" s="326"/>
      <c r="AN1403" s="326"/>
    </row>
    <row r="1404" spans="1:40" x14ac:dyDescent="0.15">
      <c r="A1404" s="327"/>
      <c r="B1404" s="320"/>
      <c r="C1404" s="320"/>
      <c r="D1404" s="320"/>
      <c r="E1404" s="320"/>
      <c r="F1404" s="320"/>
      <c r="G1404" s="320"/>
      <c r="H1404" s="320"/>
      <c r="I1404" s="320"/>
      <c r="J1404" s="320"/>
      <c r="K1404" s="320"/>
      <c r="L1404" s="320"/>
      <c r="M1404" s="320"/>
      <c r="N1404" s="320"/>
      <c r="O1404" s="321"/>
      <c r="P1404" s="321"/>
      <c r="Y1404" s="326"/>
      <c r="Z1404" s="326"/>
      <c r="AA1404" s="326"/>
      <c r="AB1404" s="326"/>
      <c r="AC1404" s="326"/>
      <c r="AD1404" s="326"/>
      <c r="AG1404" s="326"/>
      <c r="AH1404" s="326"/>
      <c r="AI1404" s="326"/>
      <c r="AL1404" s="326"/>
      <c r="AM1404" s="326"/>
      <c r="AN1404" s="326"/>
    </row>
    <row r="1405" spans="1:40" x14ac:dyDescent="0.15">
      <c r="A1405" s="327"/>
      <c r="B1405" s="320"/>
      <c r="C1405" s="320"/>
      <c r="D1405" s="320"/>
      <c r="E1405" s="320"/>
      <c r="F1405" s="320"/>
      <c r="G1405" s="320"/>
      <c r="H1405" s="320"/>
      <c r="I1405" s="320"/>
      <c r="J1405" s="320"/>
      <c r="K1405" s="320"/>
      <c r="L1405" s="320"/>
      <c r="M1405" s="320"/>
      <c r="N1405" s="320"/>
      <c r="O1405" s="321"/>
      <c r="P1405" s="321"/>
      <c r="Y1405" s="326"/>
      <c r="Z1405" s="326"/>
      <c r="AA1405" s="326"/>
      <c r="AB1405" s="326"/>
      <c r="AC1405" s="326"/>
      <c r="AD1405" s="326"/>
      <c r="AG1405" s="326"/>
      <c r="AH1405" s="326"/>
      <c r="AI1405" s="326"/>
      <c r="AL1405" s="326"/>
      <c r="AM1405" s="326"/>
      <c r="AN1405" s="326"/>
    </row>
    <row r="1406" spans="1:40" x14ac:dyDescent="0.15">
      <c r="A1406" s="327"/>
      <c r="B1406" s="320"/>
      <c r="C1406" s="320"/>
      <c r="D1406" s="320"/>
      <c r="E1406" s="320"/>
      <c r="F1406" s="320"/>
      <c r="G1406" s="320"/>
      <c r="H1406" s="320"/>
      <c r="I1406" s="320"/>
      <c r="J1406" s="320"/>
      <c r="K1406" s="320"/>
      <c r="L1406" s="320"/>
      <c r="M1406" s="320"/>
      <c r="N1406" s="320"/>
      <c r="O1406" s="321"/>
      <c r="P1406" s="321"/>
      <c r="Y1406" s="326"/>
      <c r="Z1406" s="326"/>
      <c r="AA1406" s="326"/>
      <c r="AB1406" s="326"/>
      <c r="AC1406" s="326"/>
      <c r="AD1406" s="326"/>
      <c r="AG1406" s="326"/>
      <c r="AH1406" s="326"/>
      <c r="AI1406" s="326"/>
      <c r="AL1406" s="326"/>
      <c r="AM1406" s="326"/>
      <c r="AN1406" s="326"/>
    </row>
    <row r="1407" spans="1:40" x14ac:dyDescent="0.15">
      <c r="A1407" s="327"/>
      <c r="B1407" s="320"/>
      <c r="C1407" s="320"/>
      <c r="D1407" s="320"/>
      <c r="E1407" s="320"/>
      <c r="F1407" s="320"/>
      <c r="G1407" s="320"/>
      <c r="H1407" s="320"/>
      <c r="I1407" s="320"/>
      <c r="J1407" s="320"/>
      <c r="K1407" s="320"/>
      <c r="L1407" s="320"/>
      <c r="M1407" s="320"/>
      <c r="N1407" s="320"/>
      <c r="O1407" s="321"/>
      <c r="P1407" s="321"/>
      <c r="Y1407" s="326"/>
      <c r="Z1407" s="326"/>
      <c r="AA1407" s="326"/>
      <c r="AB1407" s="326"/>
      <c r="AC1407" s="326"/>
      <c r="AD1407" s="326"/>
      <c r="AG1407" s="326"/>
      <c r="AH1407" s="326"/>
      <c r="AI1407" s="326"/>
      <c r="AL1407" s="326"/>
      <c r="AM1407" s="326"/>
      <c r="AN1407" s="326"/>
    </row>
    <row r="1408" spans="1:40" x14ac:dyDescent="0.15">
      <c r="A1408" s="327"/>
      <c r="B1408" s="320"/>
      <c r="C1408" s="320"/>
      <c r="D1408" s="320"/>
      <c r="E1408" s="320"/>
      <c r="F1408" s="320"/>
      <c r="G1408" s="320"/>
      <c r="H1408" s="320"/>
      <c r="I1408" s="320"/>
      <c r="J1408" s="320"/>
      <c r="K1408" s="320"/>
      <c r="L1408" s="320"/>
      <c r="M1408" s="320"/>
      <c r="N1408" s="320"/>
      <c r="O1408" s="321"/>
      <c r="P1408" s="321"/>
      <c r="Y1408" s="326"/>
      <c r="Z1408" s="326"/>
      <c r="AA1408" s="326"/>
      <c r="AB1408" s="326"/>
      <c r="AC1408" s="326"/>
      <c r="AD1408" s="326"/>
      <c r="AG1408" s="326"/>
      <c r="AH1408" s="326"/>
      <c r="AI1408" s="326"/>
      <c r="AL1408" s="326"/>
      <c r="AM1408" s="326"/>
      <c r="AN1408" s="326"/>
    </row>
    <row r="1409" spans="1:40" x14ac:dyDescent="0.15">
      <c r="A1409" s="327"/>
      <c r="B1409" s="320"/>
      <c r="C1409" s="320"/>
      <c r="D1409" s="320"/>
      <c r="E1409" s="320"/>
      <c r="F1409" s="320"/>
      <c r="G1409" s="320"/>
      <c r="H1409" s="320"/>
      <c r="I1409" s="320"/>
      <c r="J1409" s="320"/>
      <c r="K1409" s="320"/>
      <c r="L1409" s="320"/>
      <c r="M1409" s="320"/>
      <c r="N1409" s="320"/>
      <c r="O1409" s="321"/>
      <c r="P1409" s="321"/>
      <c r="Y1409" s="326"/>
      <c r="Z1409" s="326"/>
      <c r="AA1409" s="326"/>
      <c r="AB1409" s="326"/>
      <c r="AC1409" s="326"/>
      <c r="AD1409" s="326"/>
      <c r="AG1409" s="326"/>
      <c r="AH1409" s="326"/>
      <c r="AI1409" s="326"/>
      <c r="AL1409" s="326"/>
      <c r="AM1409" s="326"/>
      <c r="AN1409" s="326"/>
    </row>
    <row r="1410" spans="1:40" x14ac:dyDescent="0.15">
      <c r="A1410" s="327"/>
      <c r="B1410" s="320"/>
      <c r="C1410" s="320"/>
      <c r="D1410" s="320"/>
      <c r="E1410" s="320"/>
      <c r="F1410" s="320"/>
      <c r="G1410" s="320"/>
      <c r="H1410" s="320"/>
      <c r="I1410" s="320"/>
      <c r="J1410" s="320"/>
      <c r="K1410" s="320"/>
      <c r="L1410" s="320"/>
      <c r="M1410" s="320"/>
      <c r="N1410" s="320"/>
      <c r="O1410" s="321"/>
      <c r="P1410" s="321"/>
      <c r="Y1410" s="326"/>
      <c r="Z1410" s="326"/>
      <c r="AA1410" s="326"/>
      <c r="AB1410" s="326"/>
      <c r="AC1410" s="326"/>
      <c r="AD1410" s="326"/>
      <c r="AG1410" s="326"/>
      <c r="AH1410" s="326"/>
      <c r="AI1410" s="326"/>
      <c r="AL1410" s="326"/>
      <c r="AM1410" s="326"/>
      <c r="AN1410" s="326"/>
    </row>
    <row r="1411" spans="1:40" x14ac:dyDescent="0.15">
      <c r="A1411" s="327"/>
      <c r="B1411" s="320"/>
      <c r="C1411" s="320"/>
      <c r="D1411" s="320"/>
      <c r="E1411" s="320"/>
      <c r="F1411" s="320"/>
      <c r="G1411" s="320"/>
      <c r="H1411" s="320"/>
      <c r="I1411" s="320"/>
      <c r="J1411" s="320"/>
      <c r="K1411" s="320"/>
      <c r="L1411" s="320"/>
      <c r="M1411" s="320"/>
      <c r="N1411" s="320"/>
      <c r="O1411" s="321"/>
      <c r="P1411" s="321"/>
      <c r="Y1411" s="326"/>
      <c r="Z1411" s="326"/>
      <c r="AA1411" s="326"/>
      <c r="AB1411" s="326"/>
      <c r="AC1411" s="326"/>
      <c r="AD1411" s="326"/>
      <c r="AG1411" s="326"/>
      <c r="AH1411" s="326"/>
      <c r="AI1411" s="326"/>
      <c r="AL1411" s="326"/>
      <c r="AM1411" s="326"/>
      <c r="AN1411" s="326"/>
    </row>
    <row r="1412" spans="1:40" x14ac:dyDescent="0.15">
      <c r="A1412" s="327"/>
      <c r="B1412" s="320"/>
      <c r="C1412" s="320"/>
      <c r="D1412" s="320"/>
      <c r="E1412" s="320"/>
      <c r="F1412" s="320"/>
      <c r="G1412" s="320"/>
      <c r="H1412" s="320"/>
      <c r="I1412" s="320"/>
      <c r="J1412" s="320"/>
      <c r="K1412" s="320"/>
      <c r="L1412" s="320"/>
      <c r="M1412" s="320"/>
      <c r="N1412" s="320"/>
      <c r="O1412" s="321"/>
      <c r="P1412" s="321"/>
      <c r="Y1412" s="326"/>
      <c r="Z1412" s="326"/>
      <c r="AA1412" s="326"/>
      <c r="AB1412" s="326"/>
      <c r="AC1412" s="326"/>
      <c r="AD1412" s="326"/>
      <c r="AG1412" s="326"/>
      <c r="AH1412" s="326"/>
      <c r="AI1412" s="326"/>
      <c r="AL1412" s="326"/>
      <c r="AM1412" s="326"/>
      <c r="AN1412" s="326"/>
    </row>
    <row r="1413" spans="1:40" x14ac:dyDescent="0.15">
      <c r="A1413" s="327"/>
      <c r="B1413" s="320"/>
      <c r="C1413" s="320"/>
      <c r="D1413" s="320"/>
      <c r="E1413" s="320"/>
      <c r="F1413" s="320"/>
      <c r="G1413" s="320"/>
      <c r="H1413" s="320"/>
      <c r="I1413" s="320"/>
      <c r="J1413" s="320"/>
      <c r="K1413" s="320"/>
      <c r="L1413" s="320"/>
      <c r="M1413" s="320"/>
      <c r="N1413" s="320"/>
      <c r="O1413" s="321"/>
      <c r="P1413" s="321"/>
      <c r="Y1413" s="326"/>
      <c r="Z1413" s="326"/>
      <c r="AA1413" s="326"/>
      <c r="AB1413" s="326"/>
      <c r="AC1413" s="326"/>
      <c r="AD1413" s="326"/>
      <c r="AG1413" s="326"/>
      <c r="AH1413" s="326"/>
      <c r="AI1413" s="326"/>
      <c r="AL1413" s="326"/>
      <c r="AM1413" s="326"/>
      <c r="AN1413" s="326"/>
    </row>
    <row r="1414" spans="1:40" x14ac:dyDescent="0.15">
      <c r="A1414" s="327"/>
      <c r="B1414" s="320"/>
      <c r="C1414" s="320"/>
      <c r="D1414" s="320"/>
      <c r="E1414" s="320"/>
      <c r="F1414" s="320"/>
      <c r="G1414" s="320"/>
      <c r="H1414" s="320"/>
      <c r="I1414" s="320"/>
      <c r="J1414" s="320"/>
      <c r="K1414" s="320"/>
      <c r="L1414" s="320"/>
      <c r="M1414" s="320"/>
      <c r="N1414" s="320"/>
      <c r="O1414" s="321"/>
      <c r="P1414" s="321"/>
      <c r="Y1414" s="326"/>
      <c r="Z1414" s="326"/>
      <c r="AA1414" s="326"/>
      <c r="AB1414" s="326"/>
      <c r="AC1414" s="326"/>
      <c r="AD1414" s="326"/>
      <c r="AG1414" s="326"/>
      <c r="AH1414" s="326"/>
      <c r="AI1414" s="326"/>
      <c r="AL1414" s="326"/>
      <c r="AM1414" s="326"/>
      <c r="AN1414" s="326"/>
    </row>
    <row r="1415" spans="1:40" x14ac:dyDescent="0.15">
      <c r="A1415" s="327"/>
      <c r="B1415" s="320"/>
      <c r="C1415" s="320"/>
      <c r="D1415" s="320"/>
      <c r="E1415" s="320"/>
      <c r="F1415" s="320"/>
      <c r="G1415" s="320"/>
      <c r="H1415" s="320"/>
      <c r="I1415" s="320"/>
      <c r="J1415" s="320"/>
      <c r="K1415" s="320"/>
      <c r="L1415" s="320"/>
      <c r="M1415" s="320"/>
      <c r="N1415" s="320"/>
      <c r="O1415" s="321"/>
      <c r="P1415" s="321"/>
      <c r="Y1415" s="326"/>
      <c r="Z1415" s="326"/>
      <c r="AA1415" s="326"/>
      <c r="AB1415" s="326"/>
      <c r="AC1415" s="326"/>
      <c r="AD1415" s="326"/>
      <c r="AG1415" s="326"/>
      <c r="AH1415" s="326"/>
      <c r="AI1415" s="326"/>
      <c r="AL1415" s="326"/>
      <c r="AM1415" s="326"/>
      <c r="AN1415" s="326"/>
    </row>
    <row r="1416" spans="1:40" x14ac:dyDescent="0.15">
      <c r="A1416" s="327"/>
      <c r="B1416" s="320"/>
      <c r="C1416" s="320"/>
      <c r="D1416" s="320"/>
      <c r="E1416" s="320"/>
      <c r="F1416" s="320"/>
      <c r="G1416" s="320"/>
      <c r="H1416" s="320"/>
      <c r="I1416" s="320"/>
      <c r="J1416" s="320"/>
      <c r="K1416" s="320"/>
      <c r="L1416" s="320"/>
      <c r="M1416" s="320"/>
      <c r="N1416" s="320"/>
      <c r="O1416" s="321"/>
      <c r="P1416" s="321"/>
      <c r="Y1416" s="326"/>
      <c r="Z1416" s="326"/>
      <c r="AA1416" s="326"/>
      <c r="AB1416" s="326"/>
      <c r="AC1416" s="326"/>
      <c r="AD1416" s="326"/>
      <c r="AG1416" s="326"/>
      <c r="AH1416" s="326"/>
      <c r="AI1416" s="326"/>
      <c r="AL1416" s="326"/>
      <c r="AM1416" s="326"/>
      <c r="AN1416" s="326"/>
    </row>
    <row r="1417" spans="1:40" x14ac:dyDescent="0.15">
      <c r="A1417" s="327"/>
      <c r="B1417" s="320"/>
      <c r="C1417" s="320"/>
      <c r="D1417" s="320"/>
      <c r="E1417" s="320"/>
      <c r="F1417" s="320"/>
      <c r="G1417" s="320"/>
      <c r="H1417" s="320"/>
      <c r="I1417" s="320"/>
      <c r="J1417" s="320"/>
      <c r="K1417" s="320"/>
      <c r="L1417" s="320"/>
      <c r="M1417" s="320"/>
      <c r="N1417" s="320"/>
      <c r="O1417" s="321"/>
      <c r="P1417" s="321"/>
      <c r="Y1417" s="326"/>
      <c r="Z1417" s="326"/>
      <c r="AA1417" s="326"/>
      <c r="AB1417" s="326"/>
      <c r="AC1417" s="326"/>
      <c r="AD1417" s="326"/>
      <c r="AG1417" s="326"/>
      <c r="AH1417" s="326"/>
      <c r="AI1417" s="326"/>
      <c r="AL1417" s="326"/>
      <c r="AM1417" s="326"/>
      <c r="AN1417" s="326"/>
    </row>
    <row r="1418" spans="1:40" x14ac:dyDescent="0.15">
      <c r="A1418" s="327"/>
      <c r="B1418" s="320"/>
      <c r="C1418" s="320"/>
      <c r="D1418" s="320"/>
      <c r="E1418" s="320"/>
      <c r="F1418" s="320"/>
      <c r="G1418" s="320"/>
      <c r="H1418" s="320"/>
      <c r="I1418" s="320"/>
      <c r="J1418" s="320"/>
      <c r="K1418" s="320"/>
      <c r="L1418" s="320"/>
      <c r="M1418" s="320"/>
      <c r="N1418" s="320"/>
      <c r="O1418" s="321"/>
      <c r="P1418" s="321"/>
      <c r="Y1418" s="326"/>
      <c r="Z1418" s="326"/>
      <c r="AA1418" s="326"/>
      <c r="AB1418" s="326"/>
      <c r="AC1418" s="326"/>
      <c r="AD1418" s="326"/>
      <c r="AG1418" s="326"/>
      <c r="AH1418" s="326"/>
      <c r="AI1418" s="326"/>
      <c r="AL1418" s="326"/>
      <c r="AM1418" s="326"/>
      <c r="AN1418" s="326"/>
    </row>
    <row r="1419" spans="1:40" x14ac:dyDescent="0.15">
      <c r="A1419" s="327"/>
      <c r="B1419" s="320"/>
      <c r="C1419" s="320"/>
      <c r="D1419" s="320"/>
      <c r="E1419" s="320"/>
      <c r="F1419" s="320"/>
      <c r="G1419" s="320"/>
      <c r="H1419" s="320"/>
      <c r="I1419" s="320"/>
      <c r="J1419" s="320"/>
      <c r="K1419" s="320"/>
      <c r="L1419" s="320"/>
      <c r="M1419" s="320"/>
      <c r="N1419" s="320"/>
      <c r="O1419" s="321"/>
      <c r="P1419" s="321"/>
      <c r="Y1419" s="326"/>
      <c r="Z1419" s="326"/>
      <c r="AA1419" s="326"/>
      <c r="AB1419" s="326"/>
      <c r="AC1419" s="326"/>
      <c r="AD1419" s="326"/>
      <c r="AG1419" s="326"/>
      <c r="AH1419" s="326"/>
      <c r="AI1419" s="326"/>
      <c r="AL1419" s="326"/>
      <c r="AM1419" s="326"/>
      <c r="AN1419" s="326"/>
    </row>
    <row r="1420" spans="1:40" x14ac:dyDescent="0.15">
      <c r="A1420" s="327"/>
      <c r="B1420" s="320"/>
      <c r="C1420" s="320"/>
      <c r="D1420" s="320"/>
      <c r="E1420" s="320"/>
      <c r="F1420" s="320"/>
      <c r="G1420" s="320"/>
      <c r="H1420" s="320"/>
      <c r="I1420" s="320"/>
      <c r="J1420" s="320"/>
      <c r="K1420" s="320"/>
      <c r="L1420" s="320"/>
      <c r="M1420" s="320"/>
      <c r="N1420" s="320"/>
      <c r="O1420" s="321"/>
      <c r="P1420" s="321"/>
      <c r="Y1420" s="326"/>
      <c r="Z1420" s="326"/>
      <c r="AA1420" s="326"/>
      <c r="AB1420" s="326"/>
      <c r="AC1420" s="326"/>
      <c r="AD1420" s="326"/>
      <c r="AG1420" s="326"/>
      <c r="AH1420" s="326"/>
      <c r="AI1420" s="326"/>
      <c r="AL1420" s="326"/>
      <c r="AM1420" s="326"/>
      <c r="AN1420" s="326"/>
    </row>
    <row r="1421" spans="1:40" x14ac:dyDescent="0.15">
      <c r="A1421" s="327"/>
      <c r="B1421" s="320"/>
      <c r="C1421" s="320"/>
      <c r="D1421" s="320"/>
      <c r="E1421" s="320"/>
      <c r="F1421" s="320"/>
      <c r="G1421" s="320"/>
      <c r="H1421" s="320"/>
      <c r="I1421" s="320"/>
      <c r="J1421" s="320"/>
      <c r="K1421" s="320"/>
      <c r="L1421" s="320"/>
      <c r="M1421" s="320"/>
      <c r="N1421" s="320"/>
      <c r="O1421" s="321"/>
      <c r="P1421" s="321"/>
      <c r="Y1421" s="326"/>
      <c r="Z1421" s="326"/>
      <c r="AA1421" s="326"/>
      <c r="AB1421" s="326"/>
      <c r="AC1421" s="326"/>
      <c r="AD1421" s="326"/>
      <c r="AG1421" s="326"/>
      <c r="AH1421" s="326"/>
      <c r="AI1421" s="326"/>
      <c r="AL1421" s="326"/>
      <c r="AM1421" s="326"/>
      <c r="AN1421" s="326"/>
    </row>
    <row r="1422" spans="1:40" x14ac:dyDescent="0.15">
      <c r="A1422" s="327"/>
      <c r="B1422" s="320"/>
      <c r="C1422" s="320"/>
      <c r="D1422" s="320"/>
      <c r="E1422" s="320"/>
      <c r="F1422" s="320"/>
      <c r="G1422" s="320"/>
      <c r="H1422" s="320"/>
      <c r="I1422" s="320"/>
      <c r="J1422" s="320"/>
      <c r="K1422" s="320"/>
      <c r="L1422" s="320"/>
      <c r="M1422" s="320"/>
      <c r="N1422" s="320"/>
      <c r="O1422" s="321"/>
      <c r="P1422" s="321"/>
      <c r="Y1422" s="326"/>
      <c r="Z1422" s="326"/>
      <c r="AA1422" s="326"/>
      <c r="AB1422" s="326"/>
      <c r="AC1422" s="326"/>
      <c r="AD1422" s="326"/>
      <c r="AG1422" s="326"/>
      <c r="AH1422" s="326"/>
      <c r="AI1422" s="326"/>
      <c r="AL1422" s="326"/>
      <c r="AM1422" s="326"/>
      <c r="AN1422" s="326"/>
    </row>
    <row r="1423" spans="1:40" x14ac:dyDescent="0.15">
      <c r="A1423" s="327"/>
      <c r="B1423" s="320"/>
      <c r="C1423" s="320"/>
      <c r="D1423" s="320"/>
      <c r="E1423" s="320"/>
      <c r="F1423" s="320"/>
      <c r="G1423" s="320"/>
      <c r="H1423" s="320"/>
      <c r="I1423" s="320"/>
      <c r="J1423" s="320"/>
      <c r="K1423" s="320"/>
      <c r="L1423" s="320"/>
      <c r="M1423" s="320"/>
      <c r="N1423" s="320"/>
      <c r="O1423" s="321"/>
      <c r="P1423" s="321"/>
      <c r="Y1423" s="326"/>
      <c r="Z1423" s="326"/>
      <c r="AA1423" s="326"/>
      <c r="AB1423" s="326"/>
      <c r="AC1423" s="326"/>
      <c r="AD1423" s="326"/>
      <c r="AG1423" s="326"/>
      <c r="AH1423" s="326"/>
      <c r="AI1423" s="326"/>
      <c r="AL1423" s="326"/>
      <c r="AM1423" s="326"/>
      <c r="AN1423" s="326"/>
    </row>
    <row r="1424" spans="1:40" x14ac:dyDescent="0.15">
      <c r="A1424" s="327"/>
      <c r="B1424" s="320"/>
      <c r="C1424" s="320"/>
      <c r="D1424" s="320"/>
      <c r="E1424" s="320"/>
      <c r="F1424" s="320"/>
      <c r="G1424" s="320"/>
      <c r="H1424" s="320"/>
      <c r="I1424" s="320"/>
      <c r="J1424" s="320"/>
      <c r="K1424" s="320"/>
      <c r="L1424" s="320"/>
      <c r="M1424" s="320"/>
      <c r="N1424" s="320"/>
      <c r="O1424" s="321"/>
      <c r="P1424" s="321"/>
      <c r="Y1424" s="326"/>
      <c r="Z1424" s="326"/>
      <c r="AA1424" s="326"/>
      <c r="AB1424" s="326"/>
      <c r="AC1424" s="326"/>
      <c r="AD1424" s="326"/>
      <c r="AG1424" s="326"/>
      <c r="AH1424" s="326"/>
      <c r="AI1424" s="326"/>
      <c r="AL1424" s="326"/>
      <c r="AM1424" s="326"/>
      <c r="AN1424" s="326"/>
    </row>
    <row r="1425" spans="1:40" x14ac:dyDescent="0.15">
      <c r="A1425" s="327"/>
      <c r="B1425" s="320"/>
      <c r="C1425" s="320"/>
      <c r="D1425" s="320"/>
      <c r="E1425" s="320"/>
      <c r="F1425" s="320"/>
      <c r="G1425" s="320"/>
      <c r="H1425" s="320"/>
      <c r="I1425" s="320"/>
      <c r="J1425" s="320"/>
      <c r="K1425" s="320"/>
      <c r="L1425" s="320"/>
      <c r="M1425" s="320"/>
      <c r="N1425" s="320"/>
      <c r="O1425" s="321"/>
      <c r="P1425" s="321"/>
      <c r="Y1425" s="326"/>
      <c r="Z1425" s="326"/>
      <c r="AA1425" s="326"/>
      <c r="AB1425" s="326"/>
      <c r="AC1425" s="326"/>
      <c r="AD1425" s="326"/>
      <c r="AG1425" s="326"/>
      <c r="AH1425" s="326"/>
      <c r="AI1425" s="326"/>
      <c r="AL1425" s="326"/>
      <c r="AM1425" s="326"/>
      <c r="AN1425" s="326"/>
    </row>
    <row r="1426" spans="1:40" x14ac:dyDescent="0.15">
      <c r="A1426" s="327"/>
      <c r="B1426" s="320"/>
      <c r="C1426" s="320"/>
      <c r="D1426" s="320"/>
      <c r="E1426" s="320"/>
      <c r="F1426" s="320"/>
      <c r="G1426" s="320"/>
      <c r="H1426" s="320"/>
      <c r="I1426" s="320"/>
      <c r="J1426" s="320"/>
      <c r="K1426" s="320"/>
      <c r="L1426" s="320"/>
      <c r="M1426" s="320"/>
      <c r="N1426" s="320"/>
      <c r="O1426" s="321"/>
      <c r="P1426" s="321"/>
      <c r="Y1426" s="326"/>
      <c r="Z1426" s="326"/>
      <c r="AA1426" s="326"/>
      <c r="AB1426" s="326"/>
      <c r="AC1426" s="326"/>
      <c r="AD1426" s="326"/>
      <c r="AG1426" s="326"/>
      <c r="AH1426" s="326"/>
      <c r="AI1426" s="326"/>
      <c r="AL1426" s="326"/>
      <c r="AM1426" s="326"/>
      <c r="AN1426" s="326"/>
    </row>
    <row r="1427" spans="1:40" x14ac:dyDescent="0.15">
      <c r="A1427" s="327"/>
      <c r="B1427" s="320"/>
      <c r="C1427" s="320"/>
      <c r="D1427" s="320"/>
      <c r="E1427" s="320"/>
      <c r="F1427" s="320"/>
      <c r="G1427" s="320"/>
      <c r="H1427" s="320"/>
      <c r="I1427" s="320"/>
      <c r="J1427" s="320"/>
      <c r="K1427" s="320"/>
      <c r="L1427" s="320"/>
      <c r="M1427" s="320"/>
      <c r="N1427" s="320"/>
      <c r="O1427" s="321"/>
      <c r="P1427" s="321"/>
      <c r="Y1427" s="326"/>
      <c r="Z1427" s="326"/>
      <c r="AA1427" s="326"/>
      <c r="AB1427" s="326"/>
      <c r="AC1427" s="326"/>
      <c r="AD1427" s="326"/>
      <c r="AG1427" s="326"/>
      <c r="AH1427" s="326"/>
      <c r="AI1427" s="326"/>
      <c r="AL1427" s="326"/>
      <c r="AM1427" s="326"/>
      <c r="AN1427" s="326"/>
    </row>
    <row r="1428" spans="1:40" x14ac:dyDescent="0.15">
      <c r="A1428" s="327"/>
      <c r="B1428" s="320"/>
      <c r="C1428" s="320"/>
      <c r="D1428" s="320"/>
      <c r="E1428" s="320"/>
      <c r="F1428" s="320"/>
      <c r="G1428" s="320"/>
      <c r="H1428" s="320"/>
      <c r="I1428" s="320"/>
      <c r="J1428" s="320"/>
      <c r="K1428" s="320"/>
      <c r="L1428" s="320"/>
      <c r="M1428" s="320"/>
      <c r="N1428" s="320"/>
      <c r="O1428" s="321"/>
      <c r="P1428" s="321"/>
      <c r="Y1428" s="326"/>
      <c r="Z1428" s="326"/>
      <c r="AA1428" s="326"/>
      <c r="AB1428" s="326"/>
      <c r="AC1428" s="326"/>
      <c r="AD1428" s="326"/>
      <c r="AG1428" s="326"/>
      <c r="AH1428" s="326"/>
      <c r="AI1428" s="326"/>
      <c r="AL1428" s="326"/>
      <c r="AM1428" s="326"/>
      <c r="AN1428" s="326"/>
    </row>
    <row r="1429" spans="1:40" x14ac:dyDescent="0.15">
      <c r="A1429" s="327"/>
      <c r="B1429" s="320"/>
      <c r="C1429" s="320"/>
      <c r="D1429" s="320"/>
      <c r="E1429" s="320"/>
      <c r="F1429" s="320"/>
      <c r="G1429" s="320"/>
      <c r="H1429" s="320"/>
      <c r="I1429" s="320"/>
      <c r="J1429" s="320"/>
      <c r="K1429" s="320"/>
      <c r="L1429" s="320"/>
      <c r="M1429" s="320"/>
      <c r="N1429" s="320"/>
      <c r="O1429" s="321"/>
      <c r="P1429" s="321"/>
      <c r="Y1429" s="326"/>
      <c r="Z1429" s="326"/>
      <c r="AA1429" s="326"/>
      <c r="AB1429" s="326"/>
      <c r="AC1429" s="326"/>
      <c r="AD1429" s="326"/>
      <c r="AG1429" s="326"/>
      <c r="AH1429" s="326"/>
      <c r="AI1429" s="326"/>
      <c r="AL1429" s="326"/>
      <c r="AM1429" s="326"/>
      <c r="AN1429" s="326"/>
    </row>
    <row r="1430" spans="1:40" x14ac:dyDescent="0.15">
      <c r="A1430" s="327"/>
      <c r="B1430" s="320"/>
      <c r="C1430" s="320"/>
      <c r="D1430" s="320"/>
      <c r="E1430" s="320"/>
      <c r="F1430" s="320"/>
      <c r="G1430" s="320"/>
      <c r="H1430" s="320"/>
      <c r="I1430" s="320"/>
      <c r="J1430" s="320"/>
      <c r="K1430" s="320"/>
      <c r="L1430" s="320"/>
      <c r="M1430" s="320"/>
      <c r="N1430" s="320"/>
      <c r="O1430" s="321"/>
      <c r="P1430" s="321"/>
      <c r="Y1430" s="326"/>
      <c r="Z1430" s="326"/>
      <c r="AA1430" s="326"/>
      <c r="AB1430" s="326"/>
      <c r="AC1430" s="326"/>
      <c r="AD1430" s="326"/>
      <c r="AG1430" s="326"/>
      <c r="AH1430" s="326"/>
      <c r="AI1430" s="326"/>
      <c r="AL1430" s="326"/>
      <c r="AM1430" s="326"/>
      <c r="AN1430" s="326"/>
    </row>
    <row r="1431" spans="1:40" x14ac:dyDescent="0.15">
      <c r="A1431" s="327"/>
      <c r="B1431" s="320"/>
      <c r="C1431" s="320"/>
      <c r="D1431" s="320"/>
      <c r="E1431" s="320"/>
      <c r="F1431" s="320"/>
      <c r="G1431" s="320"/>
      <c r="H1431" s="320"/>
      <c r="I1431" s="320"/>
      <c r="J1431" s="320"/>
      <c r="K1431" s="320"/>
      <c r="L1431" s="320"/>
      <c r="M1431" s="320"/>
      <c r="N1431" s="320"/>
      <c r="O1431" s="321"/>
      <c r="P1431" s="321"/>
      <c r="Y1431" s="326"/>
      <c r="Z1431" s="326"/>
      <c r="AA1431" s="326"/>
      <c r="AB1431" s="326"/>
      <c r="AC1431" s="326"/>
      <c r="AD1431" s="326"/>
      <c r="AG1431" s="326"/>
      <c r="AH1431" s="326"/>
      <c r="AI1431" s="326"/>
      <c r="AL1431" s="326"/>
      <c r="AM1431" s="326"/>
      <c r="AN1431" s="326"/>
    </row>
    <row r="1432" spans="1:40" x14ac:dyDescent="0.15">
      <c r="A1432" s="327"/>
      <c r="B1432" s="320"/>
      <c r="C1432" s="320"/>
      <c r="D1432" s="320"/>
      <c r="E1432" s="320"/>
      <c r="F1432" s="320"/>
      <c r="G1432" s="320"/>
      <c r="H1432" s="320"/>
      <c r="I1432" s="320"/>
      <c r="J1432" s="320"/>
      <c r="K1432" s="320"/>
      <c r="L1432" s="320"/>
      <c r="M1432" s="320"/>
      <c r="N1432" s="320"/>
      <c r="O1432" s="321"/>
      <c r="P1432" s="321"/>
      <c r="Y1432" s="326"/>
      <c r="Z1432" s="326"/>
      <c r="AA1432" s="326"/>
      <c r="AB1432" s="326"/>
      <c r="AC1432" s="326"/>
      <c r="AD1432" s="326"/>
      <c r="AG1432" s="326"/>
      <c r="AH1432" s="326"/>
      <c r="AI1432" s="326"/>
      <c r="AL1432" s="326"/>
      <c r="AM1432" s="326"/>
      <c r="AN1432" s="326"/>
    </row>
    <row r="1433" spans="1:40" x14ac:dyDescent="0.15">
      <c r="A1433" s="327"/>
      <c r="B1433" s="320"/>
      <c r="C1433" s="320"/>
      <c r="D1433" s="320"/>
      <c r="E1433" s="320"/>
      <c r="F1433" s="320"/>
      <c r="G1433" s="320"/>
      <c r="H1433" s="320"/>
      <c r="I1433" s="320"/>
      <c r="J1433" s="320"/>
      <c r="K1433" s="320"/>
      <c r="L1433" s="320"/>
      <c r="M1433" s="320"/>
      <c r="N1433" s="320"/>
      <c r="O1433" s="321"/>
      <c r="P1433" s="321"/>
      <c r="Y1433" s="326"/>
      <c r="Z1433" s="326"/>
      <c r="AA1433" s="326"/>
      <c r="AB1433" s="326"/>
      <c r="AC1433" s="326"/>
      <c r="AD1433" s="326"/>
      <c r="AG1433" s="326"/>
      <c r="AH1433" s="326"/>
      <c r="AI1433" s="326"/>
      <c r="AL1433" s="326"/>
      <c r="AM1433" s="326"/>
      <c r="AN1433" s="326"/>
    </row>
    <row r="1434" spans="1:40" x14ac:dyDescent="0.15">
      <c r="A1434" s="327"/>
      <c r="B1434" s="320"/>
      <c r="C1434" s="320"/>
      <c r="D1434" s="320"/>
      <c r="E1434" s="320"/>
      <c r="F1434" s="320"/>
      <c r="G1434" s="320"/>
      <c r="H1434" s="320"/>
      <c r="I1434" s="320"/>
      <c r="J1434" s="320"/>
      <c r="K1434" s="320"/>
      <c r="L1434" s="320"/>
      <c r="M1434" s="320"/>
      <c r="N1434" s="320"/>
      <c r="O1434" s="321"/>
      <c r="P1434" s="321"/>
      <c r="Y1434" s="326"/>
      <c r="Z1434" s="326"/>
      <c r="AA1434" s="326"/>
      <c r="AB1434" s="326"/>
      <c r="AC1434" s="326"/>
      <c r="AD1434" s="326"/>
      <c r="AG1434" s="326"/>
      <c r="AH1434" s="326"/>
      <c r="AI1434" s="326"/>
      <c r="AL1434" s="326"/>
      <c r="AM1434" s="326"/>
      <c r="AN1434" s="326"/>
    </row>
    <row r="1435" spans="1:40" x14ac:dyDescent="0.15">
      <c r="A1435" s="327"/>
      <c r="B1435" s="320"/>
      <c r="C1435" s="320"/>
      <c r="D1435" s="320"/>
      <c r="E1435" s="320"/>
      <c r="F1435" s="320"/>
      <c r="G1435" s="320"/>
      <c r="H1435" s="320"/>
      <c r="I1435" s="320"/>
      <c r="J1435" s="320"/>
      <c r="K1435" s="320"/>
      <c r="L1435" s="320"/>
      <c r="M1435" s="320"/>
      <c r="N1435" s="320"/>
      <c r="O1435" s="321"/>
      <c r="P1435" s="321"/>
      <c r="Y1435" s="326"/>
      <c r="Z1435" s="326"/>
      <c r="AA1435" s="326"/>
      <c r="AB1435" s="326"/>
      <c r="AC1435" s="326"/>
      <c r="AD1435" s="326"/>
      <c r="AG1435" s="326"/>
      <c r="AH1435" s="326"/>
      <c r="AI1435" s="326"/>
      <c r="AL1435" s="326"/>
      <c r="AM1435" s="326"/>
      <c r="AN1435" s="326"/>
    </row>
    <row r="1436" spans="1:40" x14ac:dyDescent="0.15">
      <c r="A1436" s="327"/>
      <c r="B1436" s="320"/>
      <c r="C1436" s="320"/>
      <c r="D1436" s="320"/>
      <c r="E1436" s="320"/>
      <c r="F1436" s="320"/>
      <c r="G1436" s="320"/>
      <c r="H1436" s="320"/>
      <c r="I1436" s="320"/>
      <c r="J1436" s="320"/>
      <c r="K1436" s="320"/>
      <c r="L1436" s="320"/>
      <c r="M1436" s="320"/>
      <c r="N1436" s="320"/>
      <c r="O1436" s="321"/>
      <c r="P1436" s="321"/>
      <c r="Y1436" s="326"/>
      <c r="Z1436" s="326"/>
      <c r="AA1436" s="326"/>
      <c r="AB1436" s="326"/>
      <c r="AC1436" s="326"/>
      <c r="AD1436" s="326"/>
      <c r="AG1436" s="326"/>
      <c r="AH1436" s="326"/>
      <c r="AI1436" s="326"/>
      <c r="AL1436" s="326"/>
      <c r="AM1436" s="326"/>
      <c r="AN1436" s="326"/>
    </row>
    <row r="1437" spans="1:40" x14ac:dyDescent="0.15">
      <c r="A1437" s="327"/>
      <c r="B1437" s="320"/>
      <c r="C1437" s="320"/>
      <c r="D1437" s="320"/>
      <c r="E1437" s="320"/>
      <c r="F1437" s="320"/>
      <c r="G1437" s="320"/>
      <c r="H1437" s="320"/>
      <c r="I1437" s="320"/>
      <c r="J1437" s="320"/>
      <c r="K1437" s="320"/>
      <c r="L1437" s="320"/>
      <c r="M1437" s="320"/>
      <c r="N1437" s="320"/>
      <c r="O1437" s="321"/>
      <c r="P1437" s="321"/>
      <c r="Y1437" s="326"/>
      <c r="Z1437" s="326"/>
      <c r="AA1437" s="326"/>
      <c r="AB1437" s="326"/>
      <c r="AC1437" s="326"/>
      <c r="AD1437" s="326"/>
      <c r="AG1437" s="326"/>
      <c r="AH1437" s="326"/>
      <c r="AI1437" s="326"/>
      <c r="AL1437" s="326"/>
      <c r="AM1437" s="326"/>
      <c r="AN1437" s="326"/>
    </row>
    <row r="1438" spans="1:40" x14ac:dyDescent="0.15">
      <c r="A1438" s="327"/>
      <c r="B1438" s="320"/>
      <c r="C1438" s="320"/>
      <c r="D1438" s="320"/>
      <c r="E1438" s="320"/>
      <c r="F1438" s="320"/>
      <c r="G1438" s="320"/>
      <c r="H1438" s="320"/>
      <c r="I1438" s="320"/>
      <c r="J1438" s="320"/>
      <c r="K1438" s="320"/>
      <c r="L1438" s="320"/>
      <c r="M1438" s="320"/>
      <c r="N1438" s="320"/>
      <c r="O1438" s="321"/>
      <c r="P1438" s="321"/>
      <c r="Y1438" s="326"/>
      <c r="Z1438" s="326"/>
      <c r="AA1438" s="326"/>
      <c r="AB1438" s="326"/>
      <c r="AC1438" s="326"/>
      <c r="AD1438" s="326"/>
      <c r="AG1438" s="326"/>
      <c r="AH1438" s="326"/>
      <c r="AI1438" s="326"/>
      <c r="AL1438" s="326"/>
      <c r="AM1438" s="326"/>
      <c r="AN1438" s="326"/>
    </row>
    <row r="1439" spans="1:40" x14ac:dyDescent="0.15">
      <c r="A1439" s="327"/>
      <c r="B1439" s="320"/>
      <c r="C1439" s="320"/>
      <c r="D1439" s="320"/>
      <c r="E1439" s="320"/>
      <c r="F1439" s="320"/>
      <c r="G1439" s="320"/>
      <c r="H1439" s="320"/>
      <c r="I1439" s="320"/>
      <c r="J1439" s="320"/>
      <c r="K1439" s="320"/>
      <c r="L1439" s="320"/>
      <c r="M1439" s="320"/>
      <c r="N1439" s="320"/>
      <c r="O1439" s="321"/>
      <c r="P1439" s="321"/>
      <c r="Y1439" s="326"/>
      <c r="Z1439" s="326"/>
      <c r="AA1439" s="326"/>
      <c r="AB1439" s="326"/>
      <c r="AC1439" s="326"/>
      <c r="AG1439" s="326"/>
      <c r="AH1439" s="326"/>
      <c r="AI1439" s="326"/>
      <c r="AL1439" s="326"/>
      <c r="AM1439" s="326"/>
      <c r="AN1439" s="326"/>
    </row>
    <row r="1440" spans="1:40" x14ac:dyDescent="0.15">
      <c r="A1440" s="327"/>
      <c r="B1440" s="320"/>
      <c r="C1440" s="320"/>
      <c r="D1440" s="320"/>
      <c r="E1440" s="320"/>
      <c r="F1440" s="320"/>
      <c r="G1440" s="320"/>
      <c r="H1440" s="320"/>
      <c r="I1440" s="320"/>
      <c r="J1440" s="320"/>
      <c r="K1440" s="320"/>
      <c r="L1440" s="320"/>
      <c r="M1440" s="320"/>
      <c r="N1440" s="320"/>
      <c r="O1440" s="321"/>
      <c r="P1440" s="321"/>
      <c r="Y1440" s="326"/>
      <c r="Z1440" s="326"/>
      <c r="AA1440" s="326"/>
      <c r="AB1440" s="326"/>
      <c r="AC1440" s="326"/>
      <c r="AD1440" s="326"/>
      <c r="AG1440" s="326"/>
      <c r="AH1440" s="326"/>
      <c r="AI1440" s="326"/>
      <c r="AL1440" s="326"/>
      <c r="AM1440" s="326"/>
      <c r="AN1440" s="326"/>
    </row>
    <row r="1441" spans="1:40" x14ac:dyDescent="0.15">
      <c r="A1441" s="327"/>
      <c r="B1441" s="320"/>
      <c r="C1441" s="320"/>
      <c r="D1441" s="320"/>
      <c r="E1441" s="320"/>
      <c r="F1441" s="320"/>
      <c r="G1441" s="320"/>
      <c r="H1441" s="320"/>
      <c r="I1441" s="320"/>
      <c r="J1441" s="320"/>
      <c r="K1441" s="320"/>
      <c r="L1441" s="320"/>
      <c r="M1441" s="320"/>
      <c r="N1441" s="320"/>
      <c r="O1441" s="321"/>
      <c r="P1441" s="321"/>
      <c r="Y1441" s="326"/>
      <c r="Z1441" s="326"/>
      <c r="AA1441" s="326"/>
      <c r="AB1441" s="326"/>
      <c r="AC1441" s="326"/>
      <c r="AD1441" s="326"/>
      <c r="AG1441" s="326"/>
      <c r="AH1441" s="326"/>
      <c r="AI1441" s="326"/>
      <c r="AL1441" s="326"/>
      <c r="AM1441" s="326"/>
      <c r="AN1441" s="326"/>
    </row>
    <row r="1442" spans="1:40" x14ac:dyDescent="0.15">
      <c r="A1442" s="327"/>
      <c r="B1442" s="320"/>
      <c r="C1442" s="320"/>
      <c r="D1442" s="320"/>
      <c r="E1442" s="320"/>
      <c r="F1442" s="320"/>
      <c r="G1442" s="320"/>
      <c r="H1442" s="320"/>
      <c r="I1442" s="320"/>
      <c r="J1442" s="320"/>
      <c r="K1442" s="320"/>
      <c r="L1442" s="320"/>
      <c r="M1442" s="320"/>
      <c r="N1442" s="320"/>
      <c r="O1442" s="321"/>
      <c r="P1442" s="321"/>
      <c r="Y1442" s="326"/>
      <c r="Z1442" s="326"/>
      <c r="AA1442" s="326"/>
      <c r="AB1442" s="326"/>
      <c r="AC1442" s="326"/>
      <c r="AD1442" s="326"/>
      <c r="AG1442" s="326"/>
      <c r="AH1442" s="326"/>
      <c r="AI1442" s="326"/>
      <c r="AL1442" s="326"/>
      <c r="AM1442" s="326"/>
      <c r="AN1442" s="326"/>
    </row>
    <row r="1443" spans="1:40" x14ac:dyDescent="0.15">
      <c r="A1443" s="327"/>
      <c r="B1443" s="320"/>
      <c r="C1443" s="320"/>
      <c r="D1443" s="320"/>
      <c r="E1443" s="320"/>
      <c r="F1443" s="320"/>
      <c r="G1443" s="320"/>
      <c r="H1443" s="320"/>
      <c r="I1443" s="320"/>
      <c r="J1443" s="320"/>
      <c r="K1443" s="320"/>
      <c r="L1443" s="320"/>
      <c r="M1443" s="320"/>
      <c r="N1443" s="320"/>
      <c r="O1443" s="321"/>
      <c r="P1443" s="321"/>
      <c r="Y1443" s="326"/>
      <c r="Z1443" s="326"/>
      <c r="AA1443" s="326"/>
      <c r="AB1443" s="326"/>
      <c r="AC1443" s="326"/>
      <c r="AG1443" s="326"/>
      <c r="AH1443" s="326"/>
      <c r="AI1443" s="326"/>
      <c r="AL1443" s="326"/>
      <c r="AM1443" s="326"/>
      <c r="AN1443" s="326"/>
    </row>
    <row r="1444" spans="1:40" x14ac:dyDescent="0.15">
      <c r="A1444" s="327"/>
      <c r="B1444" s="320"/>
      <c r="C1444" s="320"/>
      <c r="D1444" s="320"/>
      <c r="E1444" s="320"/>
      <c r="F1444" s="320"/>
      <c r="G1444" s="320"/>
      <c r="H1444" s="320"/>
      <c r="I1444" s="320"/>
      <c r="J1444" s="320"/>
      <c r="K1444" s="320"/>
      <c r="L1444" s="320"/>
      <c r="M1444" s="320"/>
      <c r="N1444" s="320"/>
      <c r="O1444" s="321"/>
      <c r="P1444" s="321"/>
      <c r="Y1444" s="326"/>
      <c r="Z1444" s="326"/>
      <c r="AA1444" s="326"/>
      <c r="AB1444" s="326"/>
      <c r="AC1444" s="326"/>
      <c r="AG1444" s="326"/>
      <c r="AH1444" s="326"/>
      <c r="AI1444" s="326"/>
      <c r="AL1444" s="326"/>
      <c r="AM1444" s="326"/>
      <c r="AN1444" s="326"/>
    </row>
    <row r="1445" spans="1:40" x14ac:dyDescent="0.15">
      <c r="A1445" s="327"/>
      <c r="B1445" s="320"/>
      <c r="C1445" s="320"/>
      <c r="D1445" s="320"/>
      <c r="E1445" s="320"/>
      <c r="F1445" s="320"/>
      <c r="G1445" s="320"/>
      <c r="H1445" s="320"/>
      <c r="I1445" s="320"/>
      <c r="J1445" s="320"/>
      <c r="K1445" s="320"/>
      <c r="L1445" s="320"/>
      <c r="M1445" s="320"/>
      <c r="N1445" s="320"/>
      <c r="O1445" s="321"/>
      <c r="P1445" s="321"/>
      <c r="Y1445" s="326"/>
      <c r="Z1445" s="326"/>
      <c r="AA1445" s="326"/>
      <c r="AB1445" s="326"/>
      <c r="AC1445" s="326"/>
      <c r="AG1445" s="326"/>
      <c r="AH1445" s="326"/>
      <c r="AI1445" s="326"/>
      <c r="AL1445" s="326"/>
      <c r="AM1445" s="326"/>
      <c r="AN1445" s="326"/>
    </row>
    <row r="1446" spans="1:40" x14ac:dyDescent="0.15">
      <c r="A1446" s="327"/>
      <c r="B1446" s="320"/>
      <c r="C1446" s="320"/>
      <c r="D1446" s="320"/>
      <c r="E1446" s="320"/>
      <c r="F1446" s="320"/>
      <c r="G1446" s="320"/>
      <c r="H1446" s="320"/>
      <c r="I1446" s="320"/>
      <c r="J1446" s="320"/>
      <c r="K1446" s="320"/>
      <c r="L1446" s="320"/>
      <c r="M1446" s="320"/>
      <c r="N1446" s="320"/>
      <c r="O1446" s="321"/>
      <c r="P1446" s="321"/>
      <c r="Y1446" s="326"/>
      <c r="Z1446" s="326"/>
      <c r="AA1446" s="326"/>
      <c r="AB1446" s="326"/>
      <c r="AC1446" s="326"/>
      <c r="AG1446" s="326"/>
      <c r="AH1446" s="326"/>
      <c r="AI1446" s="326"/>
      <c r="AL1446" s="326"/>
      <c r="AM1446" s="326"/>
      <c r="AN1446" s="326"/>
    </row>
    <row r="1447" spans="1:40" x14ac:dyDescent="0.15">
      <c r="A1447" s="327"/>
      <c r="B1447" s="320"/>
      <c r="C1447" s="320"/>
      <c r="D1447" s="320"/>
      <c r="E1447" s="320"/>
      <c r="F1447" s="320"/>
      <c r="G1447" s="320"/>
      <c r="H1447" s="320"/>
      <c r="I1447" s="320"/>
      <c r="J1447" s="320"/>
      <c r="K1447" s="320"/>
      <c r="L1447" s="320"/>
      <c r="M1447" s="320"/>
      <c r="N1447" s="320"/>
      <c r="O1447" s="321"/>
      <c r="P1447" s="321"/>
      <c r="Y1447" s="326"/>
      <c r="Z1447" s="326"/>
      <c r="AA1447" s="326"/>
      <c r="AB1447" s="326"/>
      <c r="AC1447" s="326"/>
      <c r="AG1447" s="326"/>
      <c r="AH1447" s="326"/>
      <c r="AI1447" s="326"/>
      <c r="AL1447" s="326"/>
      <c r="AM1447" s="326"/>
      <c r="AN1447" s="326"/>
    </row>
    <row r="1448" spans="1:40" x14ac:dyDescent="0.15">
      <c r="A1448" s="327"/>
      <c r="B1448" s="320"/>
      <c r="C1448" s="320"/>
      <c r="D1448" s="320"/>
      <c r="E1448" s="320"/>
      <c r="F1448" s="320"/>
      <c r="G1448" s="320"/>
      <c r="H1448" s="320"/>
      <c r="I1448" s="320"/>
      <c r="J1448" s="320"/>
      <c r="K1448" s="320"/>
      <c r="L1448" s="320"/>
      <c r="M1448" s="320"/>
      <c r="N1448" s="320"/>
      <c r="O1448" s="321"/>
      <c r="P1448" s="321"/>
      <c r="Y1448" s="326"/>
      <c r="Z1448" s="326"/>
      <c r="AA1448" s="326"/>
      <c r="AB1448" s="326"/>
      <c r="AC1448" s="326"/>
      <c r="AG1448" s="326"/>
      <c r="AH1448" s="326"/>
      <c r="AI1448" s="326"/>
      <c r="AL1448" s="326"/>
      <c r="AM1448" s="326"/>
      <c r="AN1448" s="326"/>
    </row>
    <row r="1449" spans="1:40" x14ac:dyDescent="0.15">
      <c r="A1449" s="327"/>
      <c r="B1449" s="320"/>
      <c r="C1449" s="320"/>
      <c r="D1449" s="320"/>
      <c r="E1449" s="320"/>
      <c r="F1449" s="320"/>
      <c r="G1449" s="320"/>
      <c r="H1449" s="320"/>
      <c r="I1449" s="320"/>
      <c r="J1449" s="320"/>
      <c r="K1449" s="320"/>
      <c r="L1449" s="320"/>
      <c r="M1449" s="320"/>
      <c r="N1449" s="320"/>
      <c r="O1449" s="321"/>
      <c r="P1449" s="321"/>
      <c r="Y1449" s="326"/>
      <c r="Z1449" s="326"/>
      <c r="AA1449" s="326"/>
      <c r="AB1449" s="326"/>
      <c r="AC1449" s="326"/>
      <c r="AG1449" s="326"/>
      <c r="AH1449" s="326"/>
      <c r="AI1449" s="326"/>
      <c r="AL1449" s="326"/>
      <c r="AM1449" s="326"/>
      <c r="AN1449" s="326"/>
    </row>
    <row r="1450" spans="1:40" x14ac:dyDescent="0.15">
      <c r="A1450" s="327"/>
      <c r="B1450" s="320"/>
      <c r="C1450" s="320"/>
      <c r="D1450" s="320"/>
      <c r="E1450" s="320"/>
      <c r="F1450" s="320"/>
      <c r="G1450" s="320"/>
      <c r="H1450" s="320"/>
      <c r="I1450" s="320"/>
      <c r="J1450" s="320"/>
      <c r="K1450" s="320"/>
      <c r="L1450" s="320"/>
      <c r="M1450" s="320"/>
      <c r="N1450" s="320"/>
      <c r="O1450" s="321"/>
      <c r="P1450" s="321"/>
      <c r="Y1450" s="326"/>
      <c r="Z1450" s="326"/>
      <c r="AA1450" s="326"/>
      <c r="AB1450" s="326"/>
      <c r="AC1450" s="326"/>
      <c r="AG1450" s="326"/>
      <c r="AH1450" s="326"/>
      <c r="AI1450" s="326"/>
      <c r="AL1450" s="326"/>
      <c r="AM1450" s="326"/>
      <c r="AN1450" s="326"/>
    </row>
    <row r="1451" spans="1:40" x14ac:dyDescent="0.15">
      <c r="A1451" s="327"/>
      <c r="B1451" s="320"/>
      <c r="C1451" s="320"/>
      <c r="D1451" s="320"/>
      <c r="E1451" s="320"/>
      <c r="F1451" s="320"/>
      <c r="G1451" s="320"/>
      <c r="H1451" s="320"/>
      <c r="I1451" s="320"/>
      <c r="J1451" s="320"/>
      <c r="K1451" s="320"/>
      <c r="L1451" s="320"/>
      <c r="M1451" s="320"/>
      <c r="N1451" s="320"/>
      <c r="O1451" s="321"/>
      <c r="P1451" s="321"/>
      <c r="Y1451" s="326"/>
      <c r="Z1451" s="326"/>
      <c r="AA1451" s="326"/>
      <c r="AB1451" s="326"/>
      <c r="AC1451" s="326"/>
      <c r="AG1451" s="326"/>
      <c r="AH1451" s="326"/>
      <c r="AI1451" s="326"/>
      <c r="AL1451" s="326"/>
      <c r="AM1451" s="326"/>
      <c r="AN1451" s="326"/>
    </row>
    <row r="1452" spans="1:40" x14ac:dyDescent="0.15">
      <c r="A1452" s="327"/>
      <c r="B1452" s="320"/>
      <c r="C1452" s="320"/>
      <c r="D1452" s="320"/>
      <c r="E1452" s="320"/>
      <c r="F1452" s="320"/>
      <c r="G1452" s="320"/>
      <c r="H1452" s="320"/>
      <c r="I1452" s="320"/>
      <c r="J1452" s="320"/>
      <c r="K1452" s="320"/>
      <c r="L1452" s="320"/>
      <c r="M1452" s="320"/>
      <c r="N1452" s="320"/>
      <c r="O1452" s="321"/>
      <c r="P1452" s="321"/>
      <c r="Y1452" s="326"/>
      <c r="Z1452" s="326"/>
      <c r="AA1452" s="326"/>
      <c r="AB1452" s="326"/>
      <c r="AC1452" s="326"/>
      <c r="AG1452" s="326"/>
      <c r="AH1452" s="326"/>
      <c r="AI1452" s="326"/>
      <c r="AL1452" s="326"/>
      <c r="AM1452" s="326"/>
      <c r="AN1452" s="326"/>
    </row>
    <row r="1453" spans="1:40" x14ac:dyDescent="0.15">
      <c r="A1453" s="327"/>
      <c r="B1453" s="320"/>
      <c r="C1453" s="320"/>
      <c r="D1453" s="320"/>
      <c r="E1453" s="320"/>
      <c r="F1453" s="320"/>
      <c r="G1453" s="320"/>
      <c r="H1453" s="320"/>
      <c r="I1453" s="320"/>
      <c r="J1453" s="320"/>
      <c r="K1453" s="320"/>
      <c r="L1453" s="320"/>
      <c r="M1453" s="320"/>
      <c r="N1453" s="320"/>
      <c r="O1453" s="321"/>
      <c r="P1453" s="321"/>
      <c r="Y1453" s="326"/>
      <c r="Z1453" s="326"/>
      <c r="AA1453" s="326"/>
      <c r="AB1453" s="326"/>
      <c r="AC1453" s="326"/>
      <c r="AG1453" s="326"/>
      <c r="AH1453" s="326"/>
      <c r="AI1453" s="326"/>
      <c r="AL1453" s="326"/>
      <c r="AM1453" s="326"/>
      <c r="AN1453" s="326"/>
    </row>
    <row r="1454" spans="1:40" x14ac:dyDescent="0.15">
      <c r="A1454" s="327"/>
      <c r="B1454" s="320"/>
      <c r="C1454" s="320"/>
      <c r="D1454" s="320"/>
      <c r="E1454" s="320"/>
      <c r="F1454" s="320"/>
      <c r="G1454" s="320"/>
      <c r="H1454" s="320"/>
      <c r="I1454" s="320"/>
      <c r="J1454" s="320"/>
      <c r="K1454" s="320"/>
      <c r="L1454" s="320"/>
      <c r="M1454" s="320"/>
      <c r="N1454" s="320"/>
      <c r="O1454" s="321"/>
      <c r="P1454" s="321"/>
      <c r="Y1454" s="326"/>
      <c r="Z1454" s="326"/>
      <c r="AA1454" s="326"/>
      <c r="AB1454" s="326"/>
      <c r="AC1454" s="326"/>
      <c r="AG1454" s="326"/>
      <c r="AH1454" s="326"/>
      <c r="AI1454" s="326"/>
      <c r="AL1454" s="326"/>
      <c r="AM1454" s="326"/>
      <c r="AN1454" s="326"/>
    </row>
    <row r="1455" spans="1:40" x14ac:dyDescent="0.15">
      <c r="A1455" s="327"/>
      <c r="B1455" s="320"/>
      <c r="C1455" s="320"/>
      <c r="D1455" s="320"/>
      <c r="E1455" s="320"/>
      <c r="F1455" s="320"/>
      <c r="G1455" s="320"/>
      <c r="H1455" s="320"/>
      <c r="I1455" s="320"/>
      <c r="J1455" s="320"/>
      <c r="K1455" s="320"/>
      <c r="L1455" s="320"/>
      <c r="M1455" s="320"/>
      <c r="N1455" s="320"/>
      <c r="O1455" s="321"/>
      <c r="P1455" s="321"/>
      <c r="Y1455" s="326"/>
      <c r="Z1455" s="326"/>
      <c r="AA1455" s="326"/>
      <c r="AB1455" s="326"/>
      <c r="AC1455" s="326"/>
      <c r="AG1455" s="326"/>
      <c r="AH1455" s="326"/>
      <c r="AI1455" s="326"/>
      <c r="AL1455" s="326"/>
      <c r="AM1455" s="326"/>
      <c r="AN1455" s="326"/>
    </row>
    <row r="1456" spans="1:40" x14ac:dyDescent="0.15">
      <c r="A1456" s="327"/>
      <c r="B1456" s="320"/>
      <c r="C1456" s="320"/>
      <c r="D1456" s="320"/>
      <c r="E1456" s="320"/>
      <c r="F1456" s="320"/>
      <c r="G1456" s="320"/>
      <c r="H1456" s="320"/>
      <c r="I1456" s="320"/>
      <c r="J1456" s="320"/>
      <c r="K1456" s="320"/>
      <c r="L1456" s="320"/>
      <c r="M1456" s="320"/>
      <c r="N1456" s="320"/>
      <c r="O1456" s="321"/>
      <c r="P1456" s="321"/>
      <c r="Y1456" s="326"/>
      <c r="Z1456" s="326"/>
      <c r="AA1456" s="326"/>
      <c r="AB1456" s="326"/>
      <c r="AC1456" s="326"/>
      <c r="AG1456" s="326"/>
      <c r="AH1456" s="326"/>
      <c r="AI1456" s="326"/>
      <c r="AL1456" s="326"/>
      <c r="AM1456" s="326"/>
      <c r="AN1456" s="326"/>
    </row>
    <row r="1457" spans="1:40" x14ac:dyDescent="0.15">
      <c r="A1457" s="327"/>
      <c r="B1457" s="320"/>
      <c r="C1457" s="320"/>
      <c r="D1457" s="320"/>
      <c r="E1457" s="320"/>
      <c r="F1457" s="320"/>
      <c r="G1457" s="320"/>
      <c r="H1457" s="320"/>
      <c r="I1457" s="320"/>
      <c r="J1457" s="320"/>
      <c r="K1457" s="320"/>
      <c r="L1457" s="320"/>
      <c r="M1457" s="320"/>
      <c r="N1457" s="320"/>
      <c r="O1457" s="321"/>
      <c r="P1457" s="321"/>
      <c r="Y1457" s="326"/>
      <c r="Z1457" s="326"/>
      <c r="AA1457" s="326"/>
      <c r="AB1457" s="326"/>
      <c r="AC1457" s="326"/>
      <c r="AG1457" s="326"/>
      <c r="AH1457" s="326"/>
      <c r="AI1457" s="326"/>
      <c r="AL1457" s="326"/>
      <c r="AM1457" s="326"/>
      <c r="AN1457" s="326"/>
    </row>
    <row r="1458" spans="1:40" x14ac:dyDescent="0.15">
      <c r="A1458" s="327"/>
      <c r="B1458" s="320"/>
      <c r="C1458" s="320"/>
      <c r="D1458" s="320"/>
      <c r="E1458" s="320"/>
      <c r="F1458" s="320"/>
      <c r="G1458" s="320"/>
      <c r="H1458" s="320"/>
      <c r="I1458" s="320"/>
      <c r="J1458" s="320"/>
      <c r="K1458" s="320"/>
      <c r="L1458" s="320"/>
      <c r="M1458" s="320"/>
      <c r="N1458" s="320"/>
      <c r="O1458" s="321"/>
      <c r="P1458" s="321"/>
      <c r="Y1458" s="326"/>
      <c r="Z1458" s="326"/>
      <c r="AA1458" s="326"/>
      <c r="AB1458" s="326"/>
      <c r="AC1458" s="326"/>
      <c r="AG1458" s="326"/>
      <c r="AH1458" s="326"/>
      <c r="AI1458" s="326"/>
      <c r="AL1458" s="326"/>
      <c r="AM1458" s="326"/>
      <c r="AN1458" s="326"/>
    </row>
    <row r="1459" spans="1:40" x14ac:dyDescent="0.15">
      <c r="A1459" s="327"/>
      <c r="B1459" s="320"/>
      <c r="C1459" s="320"/>
      <c r="D1459" s="320"/>
      <c r="E1459" s="320"/>
      <c r="F1459" s="320"/>
      <c r="G1459" s="320"/>
      <c r="H1459" s="320"/>
      <c r="I1459" s="320"/>
      <c r="J1459" s="320"/>
      <c r="K1459" s="320"/>
      <c r="L1459" s="320"/>
      <c r="M1459" s="320"/>
      <c r="N1459" s="320"/>
      <c r="O1459" s="321"/>
      <c r="P1459" s="321"/>
      <c r="Y1459" s="326"/>
      <c r="Z1459" s="326"/>
      <c r="AA1459" s="326"/>
      <c r="AB1459" s="326"/>
      <c r="AC1459" s="326"/>
      <c r="AG1459" s="326"/>
      <c r="AH1459" s="326"/>
      <c r="AI1459" s="326"/>
      <c r="AL1459" s="326"/>
      <c r="AM1459" s="326"/>
      <c r="AN1459" s="326"/>
    </row>
    <row r="1460" spans="1:40" x14ac:dyDescent="0.15">
      <c r="A1460" s="327"/>
      <c r="B1460" s="320"/>
      <c r="C1460" s="320"/>
      <c r="D1460" s="320"/>
      <c r="E1460" s="320"/>
      <c r="F1460" s="320"/>
      <c r="G1460" s="320"/>
      <c r="H1460" s="320"/>
      <c r="I1460" s="320"/>
      <c r="J1460" s="320"/>
      <c r="K1460" s="320"/>
      <c r="L1460" s="320"/>
      <c r="M1460" s="320"/>
      <c r="N1460" s="320"/>
      <c r="O1460" s="321"/>
      <c r="P1460" s="321"/>
      <c r="Y1460" s="326"/>
      <c r="Z1460" s="326"/>
      <c r="AA1460" s="326"/>
      <c r="AB1460" s="326"/>
      <c r="AC1460" s="326"/>
      <c r="AG1460" s="326"/>
      <c r="AH1460" s="326"/>
      <c r="AI1460" s="326"/>
      <c r="AL1460" s="326"/>
      <c r="AM1460" s="326"/>
      <c r="AN1460" s="326"/>
    </row>
    <row r="1461" spans="1:40" x14ac:dyDescent="0.15">
      <c r="A1461" s="327"/>
      <c r="B1461" s="320"/>
      <c r="C1461" s="320"/>
      <c r="D1461" s="320"/>
      <c r="E1461" s="320"/>
      <c r="F1461" s="320"/>
      <c r="G1461" s="320"/>
      <c r="H1461" s="320"/>
      <c r="I1461" s="320"/>
      <c r="J1461" s="320"/>
      <c r="K1461" s="320"/>
      <c r="L1461" s="320"/>
      <c r="M1461" s="320"/>
      <c r="N1461" s="320"/>
      <c r="O1461" s="321"/>
      <c r="P1461" s="321"/>
      <c r="Y1461" s="326"/>
      <c r="Z1461" s="326"/>
      <c r="AA1461" s="326"/>
      <c r="AB1461" s="326"/>
      <c r="AC1461" s="326"/>
      <c r="AG1461" s="326"/>
      <c r="AH1461" s="326"/>
      <c r="AI1461" s="326"/>
      <c r="AL1461" s="326"/>
      <c r="AM1461" s="326"/>
      <c r="AN1461" s="326"/>
    </row>
    <row r="1462" spans="1:40" x14ac:dyDescent="0.15">
      <c r="A1462" s="327"/>
      <c r="B1462" s="320"/>
      <c r="C1462" s="320"/>
      <c r="D1462" s="320"/>
      <c r="E1462" s="320"/>
      <c r="F1462" s="320"/>
      <c r="G1462" s="320"/>
      <c r="H1462" s="320"/>
      <c r="I1462" s="320"/>
      <c r="J1462" s="320"/>
      <c r="K1462" s="320"/>
      <c r="L1462" s="320"/>
      <c r="M1462" s="320"/>
      <c r="N1462" s="320"/>
      <c r="O1462" s="321"/>
      <c r="P1462" s="321"/>
      <c r="Y1462" s="326"/>
      <c r="Z1462" s="326"/>
      <c r="AA1462" s="326"/>
      <c r="AB1462" s="326"/>
      <c r="AC1462" s="326"/>
      <c r="AG1462" s="326"/>
      <c r="AH1462" s="326"/>
      <c r="AI1462" s="326"/>
      <c r="AL1462" s="326"/>
      <c r="AM1462" s="326"/>
      <c r="AN1462" s="326"/>
    </row>
    <row r="1463" spans="1:40" x14ac:dyDescent="0.15">
      <c r="A1463" s="327"/>
      <c r="B1463" s="320"/>
      <c r="C1463" s="320"/>
      <c r="D1463" s="320"/>
      <c r="E1463" s="320"/>
      <c r="F1463" s="320"/>
      <c r="G1463" s="320"/>
      <c r="H1463" s="320"/>
      <c r="I1463" s="320"/>
      <c r="J1463" s="320"/>
      <c r="K1463" s="320"/>
      <c r="L1463" s="320"/>
      <c r="M1463" s="320"/>
      <c r="N1463" s="320"/>
      <c r="O1463" s="321"/>
      <c r="P1463" s="321"/>
      <c r="Y1463" s="326"/>
      <c r="Z1463" s="326"/>
      <c r="AA1463" s="326"/>
      <c r="AB1463" s="326"/>
      <c r="AC1463" s="326"/>
      <c r="AG1463" s="326"/>
      <c r="AH1463" s="326"/>
      <c r="AI1463" s="326"/>
      <c r="AL1463" s="326"/>
      <c r="AM1463" s="326"/>
      <c r="AN1463" s="326"/>
    </row>
    <row r="1464" spans="1:40" x14ac:dyDescent="0.15">
      <c r="A1464" s="327"/>
      <c r="B1464" s="320"/>
      <c r="C1464" s="320"/>
      <c r="D1464" s="320"/>
      <c r="E1464" s="320"/>
      <c r="F1464" s="320"/>
      <c r="G1464" s="320"/>
      <c r="H1464" s="320"/>
      <c r="I1464" s="320"/>
      <c r="J1464" s="320"/>
      <c r="K1464" s="320"/>
      <c r="L1464" s="320"/>
      <c r="M1464" s="320"/>
      <c r="N1464" s="320"/>
      <c r="O1464" s="321"/>
      <c r="P1464" s="321"/>
      <c r="Y1464" s="326"/>
      <c r="Z1464" s="326"/>
      <c r="AA1464" s="326"/>
      <c r="AB1464" s="326"/>
      <c r="AC1464" s="326"/>
      <c r="AG1464" s="326"/>
      <c r="AH1464" s="326"/>
      <c r="AI1464" s="326"/>
      <c r="AL1464" s="326"/>
      <c r="AM1464" s="326"/>
      <c r="AN1464" s="326"/>
    </row>
    <row r="1465" spans="1:40" x14ac:dyDescent="0.15">
      <c r="A1465" s="327"/>
      <c r="B1465" s="320"/>
      <c r="C1465" s="320"/>
      <c r="D1465" s="320"/>
      <c r="E1465" s="320"/>
      <c r="F1465" s="320"/>
      <c r="G1465" s="320"/>
      <c r="H1465" s="320"/>
      <c r="I1465" s="320"/>
      <c r="J1465" s="320"/>
      <c r="K1465" s="320"/>
      <c r="L1465" s="320"/>
      <c r="M1465" s="320"/>
      <c r="N1465" s="320"/>
      <c r="O1465" s="321"/>
      <c r="P1465" s="321"/>
      <c r="Y1465" s="326"/>
      <c r="Z1465" s="326"/>
      <c r="AA1465" s="326"/>
      <c r="AB1465" s="326"/>
      <c r="AC1465" s="326"/>
      <c r="AG1465" s="326"/>
      <c r="AH1465" s="326"/>
      <c r="AI1465" s="326"/>
      <c r="AL1465" s="326"/>
      <c r="AM1465" s="326"/>
      <c r="AN1465" s="326"/>
    </row>
    <row r="1466" spans="1:40" x14ac:dyDescent="0.15">
      <c r="A1466" s="327"/>
      <c r="B1466" s="320"/>
      <c r="C1466" s="320"/>
      <c r="D1466" s="320"/>
      <c r="E1466" s="320"/>
      <c r="F1466" s="320"/>
      <c r="G1466" s="320"/>
      <c r="H1466" s="320"/>
      <c r="I1466" s="320"/>
      <c r="J1466" s="320"/>
      <c r="K1466" s="320"/>
      <c r="L1466" s="320"/>
      <c r="M1466" s="320"/>
      <c r="N1466" s="320"/>
      <c r="O1466" s="321"/>
      <c r="P1466" s="321"/>
      <c r="Y1466" s="326"/>
      <c r="Z1466" s="326"/>
      <c r="AA1466" s="326"/>
      <c r="AB1466" s="326"/>
      <c r="AC1466" s="326"/>
      <c r="AG1466" s="326"/>
      <c r="AH1466" s="326"/>
      <c r="AI1466" s="326"/>
      <c r="AL1466" s="326"/>
      <c r="AM1466" s="326"/>
      <c r="AN1466" s="326"/>
    </row>
    <row r="1467" spans="1:40" x14ac:dyDescent="0.15">
      <c r="A1467" s="327"/>
      <c r="B1467" s="320"/>
      <c r="C1467" s="320"/>
      <c r="D1467" s="320"/>
      <c r="E1467" s="320"/>
      <c r="F1467" s="320"/>
      <c r="G1467" s="320"/>
      <c r="H1467" s="320"/>
      <c r="I1467" s="320"/>
      <c r="J1467" s="320"/>
      <c r="K1467" s="320"/>
      <c r="L1467" s="320"/>
      <c r="M1467" s="320"/>
      <c r="N1467" s="320"/>
      <c r="O1467" s="321"/>
      <c r="P1467" s="321"/>
      <c r="Y1467" s="326"/>
      <c r="Z1467" s="326"/>
      <c r="AA1467" s="326"/>
      <c r="AB1467" s="326"/>
      <c r="AC1467" s="326"/>
      <c r="AG1467" s="326"/>
      <c r="AH1467" s="326"/>
      <c r="AI1467" s="326"/>
      <c r="AL1467" s="326"/>
      <c r="AM1467" s="326"/>
      <c r="AN1467" s="326"/>
    </row>
    <row r="1468" spans="1:40" x14ac:dyDescent="0.15">
      <c r="A1468" s="327"/>
      <c r="B1468" s="320"/>
      <c r="C1468" s="320"/>
      <c r="D1468" s="320"/>
      <c r="E1468" s="320"/>
      <c r="F1468" s="320"/>
      <c r="G1468" s="320"/>
      <c r="H1468" s="320"/>
      <c r="I1468" s="320"/>
      <c r="J1468" s="320"/>
      <c r="K1468" s="320"/>
      <c r="L1468" s="320"/>
      <c r="M1468" s="320"/>
      <c r="N1468" s="320"/>
      <c r="O1468" s="321"/>
      <c r="P1468" s="321"/>
      <c r="Y1468" s="326"/>
      <c r="Z1468" s="326"/>
      <c r="AA1468" s="326"/>
      <c r="AB1468" s="326"/>
      <c r="AC1468" s="326"/>
      <c r="AG1468" s="326"/>
      <c r="AH1468" s="326"/>
      <c r="AI1468" s="326"/>
      <c r="AL1468" s="326"/>
      <c r="AM1468" s="326"/>
      <c r="AN1468" s="326"/>
    </row>
    <row r="1469" spans="1:40" x14ac:dyDescent="0.15">
      <c r="A1469" s="327"/>
      <c r="B1469" s="320"/>
      <c r="C1469" s="320"/>
      <c r="D1469" s="320"/>
      <c r="E1469" s="320"/>
      <c r="F1469" s="320"/>
      <c r="G1469" s="320"/>
      <c r="H1469" s="320"/>
      <c r="I1469" s="320"/>
      <c r="J1469" s="320"/>
      <c r="K1469" s="320"/>
      <c r="L1469" s="320"/>
      <c r="M1469" s="320"/>
      <c r="N1469" s="320"/>
      <c r="O1469" s="321"/>
      <c r="P1469" s="321"/>
      <c r="Y1469" s="326"/>
      <c r="Z1469" s="326"/>
      <c r="AA1469" s="326"/>
      <c r="AB1469" s="326"/>
      <c r="AC1469" s="326"/>
      <c r="AG1469" s="326"/>
      <c r="AH1469" s="326"/>
      <c r="AI1469" s="326"/>
      <c r="AL1469" s="326"/>
      <c r="AM1469" s="326"/>
      <c r="AN1469" s="326"/>
    </row>
    <row r="1470" spans="1:40" x14ac:dyDescent="0.15">
      <c r="A1470" s="327"/>
      <c r="B1470" s="320"/>
      <c r="C1470" s="320"/>
      <c r="D1470" s="320"/>
      <c r="E1470" s="320"/>
      <c r="F1470" s="320"/>
      <c r="G1470" s="320"/>
      <c r="H1470" s="320"/>
      <c r="I1470" s="320"/>
      <c r="J1470" s="320"/>
      <c r="K1470" s="320"/>
      <c r="L1470" s="320"/>
      <c r="M1470" s="320"/>
      <c r="N1470" s="320"/>
      <c r="O1470" s="321"/>
      <c r="P1470" s="321"/>
      <c r="Y1470" s="326"/>
      <c r="Z1470" s="326"/>
      <c r="AA1470" s="326"/>
      <c r="AB1470" s="326"/>
      <c r="AC1470" s="326"/>
      <c r="AG1470" s="326"/>
      <c r="AH1470" s="326"/>
      <c r="AI1470" s="326"/>
      <c r="AL1470" s="326"/>
      <c r="AM1470" s="326"/>
      <c r="AN1470" s="326"/>
    </row>
    <row r="1471" spans="1:40" x14ac:dyDescent="0.15">
      <c r="A1471" s="327"/>
      <c r="B1471" s="320"/>
      <c r="C1471" s="320"/>
      <c r="D1471" s="320"/>
      <c r="E1471" s="320"/>
      <c r="F1471" s="320"/>
      <c r="G1471" s="320"/>
      <c r="H1471" s="320"/>
      <c r="I1471" s="320"/>
      <c r="J1471" s="320"/>
      <c r="K1471" s="320"/>
      <c r="L1471" s="320"/>
      <c r="M1471" s="320"/>
      <c r="N1471" s="320"/>
      <c r="O1471" s="321"/>
      <c r="P1471" s="321"/>
      <c r="Y1471" s="326"/>
      <c r="Z1471" s="326"/>
      <c r="AA1471" s="326"/>
      <c r="AB1471" s="326"/>
      <c r="AC1471" s="326"/>
      <c r="AG1471" s="326"/>
      <c r="AH1471" s="326"/>
      <c r="AI1471" s="326"/>
      <c r="AL1471" s="326"/>
      <c r="AM1471" s="326"/>
      <c r="AN1471" s="326"/>
    </row>
    <row r="1472" spans="1:40" x14ac:dyDescent="0.15">
      <c r="A1472" s="327"/>
      <c r="B1472" s="320"/>
      <c r="C1472" s="320"/>
      <c r="D1472" s="320"/>
      <c r="E1472" s="320"/>
      <c r="F1472" s="320"/>
      <c r="G1472" s="320"/>
      <c r="H1472" s="320"/>
      <c r="I1472" s="320"/>
      <c r="J1472" s="320"/>
      <c r="K1472" s="320"/>
      <c r="L1472" s="320"/>
      <c r="M1472" s="320"/>
      <c r="N1472" s="320"/>
      <c r="O1472" s="321"/>
      <c r="P1472" s="321"/>
      <c r="Y1472" s="326"/>
      <c r="Z1472" s="326"/>
      <c r="AA1472" s="326"/>
      <c r="AB1472" s="326"/>
      <c r="AC1472" s="326"/>
      <c r="AG1472" s="326"/>
      <c r="AH1472" s="326"/>
      <c r="AI1472" s="326"/>
      <c r="AL1472" s="326"/>
      <c r="AM1472" s="326"/>
      <c r="AN1472" s="326"/>
    </row>
    <row r="1473" spans="1:40" x14ac:dyDescent="0.15">
      <c r="A1473" s="327"/>
      <c r="B1473" s="320"/>
      <c r="C1473" s="320"/>
      <c r="D1473" s="320"/>
      <c r="E1473" s="320"/>
      <c r="F1473" s="320"/>
      <c r="G1473" s="320"/>
      <c r="H1473" s="320"/>
      <c r="I1473" s="320"/>
      <c r="J1473" s="320"/>
      <c r="K1473" s="320"/>
      <c r="L1473" s="320"/>
      <c r="M1473" s="320"/>
      <c r="N1473" s="320"/>
      <c r="O1473" s="321"/>
      <c r="P1473" s="321"/>
      <c r="Y1473" s="326"/>
      <c r="Z1473" s="326"/>
      <c r="AA1473" s="326"/>
      <c r="AB1473" s="326"/>
      <c r="AC1473" s="326"/>
      <c r="AG1473" s="326"/>
      <c r="AH1473" s="326"/>
      <c r="AI1473" s="326"/>
      <c r="AL1473" s="326"/>
      <c r="AM1473" s="326"/>
      <c r="AN1473" s="326"/>
    </row>
    <row r="1474" spans="1:40" x14ac:dyDescent="0.15">
      <c r="A1474" s="327"/>
      <c r="B1474" s="320"/>
      <c r="C1474" s="320"/>
      <c r="D1474" s="320"/>
      <c r="E1474" s="320"/>
      <c r="F1474" s="320"/>
      <c r="G1474" s="320"/>
      <c r="H1474" s="320"/>
      <c r="I1474" s="320"/>
      <c r="J1474" s="320"/>
      <c r="K1474" s="320"/>
      <c r="L1474" s="320"/>
      <c r="M1474" s="320"/>
      <c r="N1474" s="320"/>
      <c r="O1474" s="321"/>
      <c r="P1474" s="321"/>
      <c r="Y1474" s="326"/>
      <c r="Z1474" s="326"/>
      <c r="AA1474" s="326"/>
      <c r="AB1474" s="326"/>
      <c r="AC1474" s="326"/>
      <c r="AG1474" s="326"/>
      <c r="AH1474" s="326"/>
      <c r="AI1474" s="326"/>
      <c r="AL1474" s="326"/>
      <c r="AM1474" s="326"/>
      <c r="AN1474" s="326"/>
    </row>
    <row r="1475" spans="1:40" x14ac:dyDescent="0.15">
      <c r="A1475" s="327"/>
      <c r="B1475" s="320"/>
      <c r="C1475" s="320"/>
      <c r="D1475" s="320"/>
      <c r="E1475" s="320"/>
      <c r="F1475" s="320"/>
      <c r="G1475" s="320"/>
      <c r="H1475" s="320"/>
      <c r="I1475" s="320"/>
      <c r="J1475" s="320"/>
      <c r="K1475" s="320"/>
      <c r="L1475" s="320"/>
      <c r="M1475" s="320"/>
      <c r="N1475" s="320"/>
      <c r="O1475" s="321"/>
      <c r="P1475" s="321"/>
      <c r="Y1475" s="326"/>
      <c r="Z1475" s="326"/>
      <c r="AA1475" s="326"/>
      <c r="AB1475" s="326"/>
      <c r="AC1475" s="326"/>
      <c r="AG1475" s="326"/>
      <c r="AH1475" s="326"/>
      <c r="AI1475" s="326"/>
      <c r="AL1475" s="326"/>
      <c r="AM1475" s="326"/>
      <c r="AN1475" s="326"/>
    </row>
    <row r="1476" spans="1:40" x14ac:dyDescent="0.15">
      <c r="A1476" s="327"/>
      <c r="B1476" s="320"/>
      <c r="C1476" s="320"/>
      <c r="D1476" s="320"/>
      <c r="E1476" s="320"/>
      <c r="F1476" s="320"/>
      <c r="G1476" s="320"/>
      <c r="H1476" s="320"/>
      <c r="I1476" s="320"/>
      <c r="J1476" s="320"/>
      <c r="K1476" s="320"/>
      <c r="L1476" s="320"/>
      <c r="M1476" s="320"/>
      <c r="N1476" s="320"/>
      <c r="O1476" s="321"/>
      <c r="P1476" s="321"/>
      <c r="Y1476" s="326"/>
      <c r="Z1476" s="326"/>
      <c r="AA1476" s="326"/>
      <c r="AB1476" s="326"/>
      <c r="AC1476" s="326"/>
      <c r="AG1476" s="326"/>
      <c r="AH1476" s="326"/>
      <c r="AI1476" s="326"/>
      <c r="AL1476" s="326"/>
      <c r="AM1476" s="326"/>
      <c r="AN1476" s="326"/>
    </row>
    <row r="1477" spans="1:40" x14ac:dyDescent="0.15">
      <c r="A1477" s="327"/>
      <c r="B1477" s="320"/>
      <c r="C1477" s="320"/>
      <c r="D1477" s="320"/>
      <c r="E1477" s="320"/>
      <c r="F1477" s="320"/>
      <c r="G1477" s="320"/>
      <c r="H1477" s="320"/>
      <c r="I1477" s="320"/>
      <c r="J1477" s="320"/>
      <c r="K1477" s="320"/>
      <c r="L1477" s="320"/>
      <c r="M1477" s="320"/>
      <c r="N1477" s="320"/>
      <c r="O1477" s="321"/>
      <c r="P1477" s="321"/>
      <c r="Y1477" s="326"/>
      <c r="Z1477" s="326"/>
      <c r="AA1477" s="326"/>
      <c r="AB1477" s="326"/>
      <c r="AC1477" s="326"/>
      <c r="AG1477" s="326"/>
      <c r="AH1477" s="326"/>
      <c r="AI1477" s="326"/>
      <c r="AL1477" s="326"/>
      <c r="AM1477" s="326"/>
      <c r="AN1477" s="326"/>
    </row>
    <row r="1478" spans="1:40" x14ac:dyDescent="0.15">
      <c r="A1478" s="327"/>
      <c r="B1478" s="320"/>
      <c r="C1478" s="320"/>
      <c r="D1478" s="320"/>
      <c r="E1478" s="320"/>
      <c r="F1478" s="320"/>
      <c r="G1478" s="320"/>
      <c r="H1478" s="320"/>
      <c r="I1478" s="320"/>
      <c r="J1478" s="320"/>
      <c r="K1478" s="320"/>
      <c r="L1478" s="320"/>
      <c r="M1478" s="320"/>
      <c r="N1478" s="320"/>
      <c r="O1478" s="321"/>
      <c r="P1478" s="321"/>
      <c r="Y1478" s="326"/>
      <c r="Z1478" s="326"/>
      <c r="AA1478" s="326"/>
      <c r="AB1478" s="326"/>
      <c r="AC1478" s="326"/>
      <c r="AG1478" s="326"/>
      <c r="AH1478" s="326"/>
      <c r="AI1478" s="326"/>
      <c r="AL1478" s="326"/>
      <c r="AM1478" s="326"/>
      <c r="AN1478" s="326"/>
    </row>
    <row r="1479" spans="1:40" x14ac:dyDescent="0.15">
      <c r="A1479" s="327"/>
      <c r="B1479" s="320"/>
      <c r="C1479" s="320"/>
      <c r="D1479" s="320"/>
      <c r="E1479" s="320"/>
      <c r="F1479" s="320"/>
      <c r="G1479" s="320"/>
      <c r="H1479" s="320"/>
      <c r="I1479" s="320"/>
      <c r="J1479" s="320"/>
      <c r="K1479" s="320"/>
      <c r="L1479" s="320"/>
      <c r="M1479" s="320"/>
      <c r="N1479" s="320"/>
      <c r="O1479" s="321"/>
      <c r="P1479" s="321"/>
      <c r="Y1479" s="326"/>
      <c r="Z1479" s="326"/>
      <c r="AA1479" s="326"/>
      <c r="AB1479" s="326"/>
      <c r="AC1479" s="326"/>
      <c r="AG1479" s="326"/>
      <c r="AH1479" s="326"/>
      <c r="AI1479" s="326"/>
      <c r="AL1479" s="326"/>
      <c r="AM1479" s="326"/>
      <c r="AN1479" s="326"/>
    </row>
    <row r="1480" spans="1:40" x14ac:dyDescent="0.15">
      <c r="A1480" s="327"/>
      <c r="B1480" s="320"/>
      <c r="C1480" s="320"/>
      <c r="D1480" s="320"/>
      <c r="E1480" s="320"/>
      <c r="F1480" s="320"/>
      <c r="G1480" s="320"/>
      <c r="H1480" s="320"/>
      <c r="I1480" s="320"/>
      <c r="J1480" s="320"/>
      <c r="K1480" s="320"/>
      <c r="L1480" s="320"/>
      <c r="M1480" s="320"/>
      <c r="N1480" s="320"/>
      <c r="O1480" s="321"/>
      <c r="P1480" s="321"/>
      <c r="Y1480" s="326"/>
      <c r="Z1480" s="326"/>
      <c r="AA1480" s="326"/>
      <c r="AB1480" s="326"/>
      <c r="AC1480" s="326"/>
      <c r="AG1480" s="326"/>
      <c r="AH1480" s="326"/>
      <c r="AI1480" s="326"/>
      <c r="AL1480" s="326"/>
      <c r="AM1480" s="326"/>
      <c r="AN1480" s="326"/>
    </row>
    <row r="1481" spans="1:40" x14ac:dyDescent="0.15">
      <c r="A1481" s="327"/>
      <c r="B1481" s="320"/>
      <c r="C1481" s="320"/>
      <c r="D1481" s="320"/>
      <c r="E1481" s="320"/>
      <c r="F1481" s="320"/>
      <c r="G1481" s="320"/>
      <c r="H1481" s="320"/>
      <c r="I1481" s="320"/>
      <c r="J1481" s="320"/>
      <c r="K1481" s="320"/>
      <c r="L1481" s="320"/>
      <c r="M1481" s="320"/>
      <c r="N1481" s="320"/>
      <c r="O1481" s="321"/>
      <c r="P1481" s="321"/>
      <c r="Y1481" s="326"/>
      <c r="Z1481" s="326"/>
      <c r="AA1481" s="326"/>
      <c r="AB1481" s="326"/>
      <c r="AC1481" s="326"/>
      <c r="AG1481" s="326"/>
      <c r="AH1481" s="326"/>
      <c r="AI1481" s="326"/>
      <c r="AL1481" s="326"/>
      <c r="AM1481" s="326"/>
      <c r="AN1481" s="326"/>
    </row>
    <row r="1482" spans="1:40" x14ac:dyDescent="0.15">
      <c r="A1482" s="327"/>
      <c r="B1482" s="320"/>
      <c r="C1482" s="320"/>
      <c r="D1482" s="320"/>
      <c r="E1482" s="320"/>
      <c r="F1482" s="320"/>
      <c r="G1482" s="320"/>
      <c r="H1482" s="320"/>
      <c r="I1482" s="320"/>
      <c r="J1482" s="320"/>
      <c r="K1482" s="320"/>
      <c r="L1482" s="320"/>
      <c r="M1482" s="320"/>
      <c r="N1482" s="320"/>
      <c r="O1482" s="321"/>
      <c r="P1482" s="321"/>
      <c r="Y1482" s="326"/>
      <c r="Z1482" s="326"/>
      <c r="AA1482" s="326"/>
      <c r="AB1482" s="326"/>
      <c r="AC1482" s="326"/>
      <c r="AG1482" s="326"/>
      <c r="AH1482" s="326"/>
      <c r="AI1482" s="326"/>
      <c r="AL1482" s="326"/>
      <c r="AM1482" s="326"/>
      <c r="AN1482" s="326"/>
    </row>
    <row r="1483" spans="1:40" x14ac:dyDescent="0.15">
      <c r="A1483" s="327"/>
      <c r="B1483" s="320"/>
      <c r="C1483" s="320"/>
      <c r="D1483" s="320"/>
      <c r="E1483" s="320"/>
      <c r="F1483" s="320"/>
      <c r="G1483" s="320"/>
      <c r="H1483" s="320"/>
      <c r="I1483" s="320"/>
      <c r="J1483" s="320"/>
      <c r="K1483" s="320"/>
      <c r="L1483" s="320"/>
      <c r="M1483" s="320"/>
      <c r="N1483" s="320"/>
      <c r="O1483" s="321"/>
      <c r="P1483" s="321"/>
      <c r="Y1483" s="326"/>
      <c r="Z1483" s="326"/>
      <c r="AA1483" s="326"/>
      <c r="AB1483" s="326"/>
      <c r="AC1483" s="326"/>
      <c r="AG1483" s="326"/>
      <c r="AH1483" s="326"/>
      <c r="AI1483" s="326"/>
      <c r="AL1483" s="326"/>
      <c r="AM1483" s="326"/>
      <c r="AN1483" s="326"/>
    </row>
    <row r="1484" spans="1:40" x14ac:dyDescent="0.15">
      <c r="A1484" s="327"/>
      <c r="B1484" s="320"/>
      <c r="C1484" s="320"/>
      <c r="D1484" s="320"/>
      <c r="E1484" s="320"/>
      <c r="F1484" s="320"/>
      <c r="G1484" s="320"/>
      <c r="H1484" s="320"/>
      <c r="I1484" s="320"/>
      <c r="J1484" s="320"/>
      <c r="K1484" s="320"/>
      <c r="L1484" s="320"/>
      <c r="M1484" s="320"/>
      <c r="N1484" s="320"/>
      <c r="O1484" s="321"/>
      <c r="P1484" s="321"/>
      <c r="Y1484" s="326"/>
      <c r="Z1484" s="326"/>
      <c r="AA1484" s="326"/>
      <c r="AB1484" s="326"/>
      <c r="AC1484" s="326"/>
      <c r="AG1484" s="326"/>
      <c r="AH1484" s="326"/>
      <c r="AI1484" s="326"/>
      <c r="AL1484" s="326"/>
      <c r="AM1484" s="326"/>
      <c r="AN1484" s="326"/>
    </row>
    <row r="1485" spans="1:40" x14ac:dyDescent="0.15">
      <c r="A1485" s="327"/>
      <c r="B1485" s="320"/>
      <c r="C1485" s="320"/>
      <c r="D1485" s="320"/>
      <c r="E1485" s="320"/>
      <c r="F1485" s="320"/>
      <c r="G1485" s="320"/>
      <c r="H1485" s="320"/>
      <c r="I1485" s="320"/>
      <c r="J1485" s="320"/>
      <c r="K1485" s="320"/>
      <c r="L1485" s="320"/>
      <c r="M1485" s="320"/>
      <c r="N1485" s="320"/>
      <c r="O1485" s="321"/>
      <c r="P1485" s="321"/>
      <c r="Y1485" s="326"/>
      <c r="Z1485" s="326"/>
      <c r="AA1485" s="326"/>
      <c r="AB1485" s="326"/>
      <c r="AC1485" s="326"/>
      <c r="AG1485" s="326"/>
      <c r="AH1485" s="326"/>
      <c r="AI1485" s="326"/>
      <c r="AL1485" s="326"/>
      <c r="AM1485" s="326"/>
      <c r="AN1485" s="326"/>
    </row>
    <row r="1486" spans="1:40" x14ac:dyDescent="0.15">
      <c r="A1486" s="327"/>
      <c r="B1486" s="320"/>
      <c r="C1486" s="320"/>
      <c r="D1486" s="320"/>
      <c r="E1486" s="320"/>
      <c r="F1486" s="320"/>
      <c r="G1486" s="320"/>
      <c r="H1486" s="320"/>
      <c r="I1486" s="320"/>
      <c r="J1486" s="320"/>
      <c r="K1486" s="320"/>
      <c r="L1486" s="320"/>
      <c r="M1486" s="320"/>
      <c r="N1486" s="320"/>
      <c r="O1486" s="321"/>
      <c r="P1486" s="321"/>
      <c r="Y1486" s="326"/>
      <c r="Z1486" s="326"/>
      <c r="AA1486" s="326"/>
      <c r="AB1486" s="326"/>
      <c r="AC1486" s="326"/>
      <c r="AG1486" s="326"/>
      <c r="AH1486" s="326"/>
      <c r="AI1486" s="326"/>
      <c r="AL1486" s="326"/>
      <c r="AM1486" s="326"/>
      <c r="AN1486" s="326"/>
    </row>
    <row r="1487" spans="1:40" x14ac:dyDescent="0.15">
      <c r="A1487" s="327"/>
      <c r="B1487" s="320"/>
      <c r="C1487" s="320"/>
      <c r="D1487" s="320"/>
      <c r="E1487" s="320"/>
      <c r="F1487" s="320"/>
      <c r="G1487" s="320"/>
      <c r="H1487" s="320"/>
      <c r="I1487" s="320"/>
      <c r="J1487" s="320"/>
      <c r="K1487" s="320"/>
      <c r="L1487" s="320"/>
      <c r="M1487" s="320"/>
      <c r="N1487" s="320"/>
      <c r="O1487" s="321"/>
      <c r="P1487" s="321"/>
      <c r="Y1487" s="326"/>
      <c r="Z1487" s="326"/>
      <c r="AA1487" s="326"/>
      <c r="AB1487" s="326"/>
      <c r="AC1487" s="326"/>
      <c r="AG1487" s="326"/>
      <c r="AH1487" s="326"/>
      <c r="AI1487" s="326"/>
      <c r="AL1487" s="326"/>
      <c r="AM1487" s="326"/>
      <c r="AN1487" s="326"/>
    </row>
    <row r="1488" spans="1:40" x14ac:dyDescent="0.15">
      <c r="A1488" s="327"/>
      <c r="B1488" s="320"/>
      <c r="C1488" s="320"/>
      <c r="D1488" s="320"/>
      <c r="E1488" s="320"/>
      <c r="F1488" s="320"/>
      <c r="G1488" s="320"/>
      <c r="H1488" s="320"/>
      <c r="I1488" s="320"/>
      <c r="J1488" s="320"/>
      <c r="K1488" s="320"/>
      <c r="L1488" s="320"/>
      <c r="M1488" s="320"/>
      <c r="N1488" s="320"/>
      <c r="O1488" s="321"/>
      <c r="P1488" s="321"/>
      <c r="Y1488" s="326"/>
      <c r="Z1488" s="326"/>
      <c r="AA1488" s="326"/>
      <c r="AB1488" s="326"/>
      <c r="AC1488" s="326"/>
      <c r="AG1488" s="326"/>
      <c r="AH1488" s="326"/>
      <c r="AI1488" s="326"/>
      <c r="AL1488" s="326"/>
      <c r="AM1488" s="326"/>
      <c r="AN1488" s="326"/>
    </row>
    <row r="1489" spans="1:40" x14ac:dyDescent="0.15">
      <c r="A1489" s="327"/>
      <c r="B1489" s="320"/>
      <c r="C1489" s="320"/>
      <c r="D1489" s="320"/>
      <c r="E1489" s="320"/>
      <c r="F1489" s="320"/>
      <c r="G1489" s="320"/>
      <c r="H1489" s="320"/>
      <c r="I1489" s="320"/>
      <c r="J1489" s="320"/>
      <c r="K1489" s="320"/>
      <c r="L1489" s="320"/>
      <c r="M1489" s="320"/>
      <c r="N1489" s="320"/>
      <c r="O1489" s="321"/>
      <c r="P1489" s="321"/>
      <c r="Y1489" s="326"/>
      <c r="Z1489" s="326"/>
      <c r="AA1489" s="326"/>
      <c r="AB1489" s="326"/>
      <c r="AC1489" s="326"/>
      <c r="AG1489" s="326"/>
      <c r="AH1489" s="326"/>
      <c r="AI1489" s="326"/>
      <c r="AL1489" s="326"/>
      <c r="AM1489" s="326"/>
      <c r="AN1489" s="326"/>
    </row>
    <row r="1490" spans="1:40" x14ac:dyDescent="0.15">
      <c r="A1490" s="327"/>
      <c r="B1490" s="320"/>
      <c r="C1490" s="320"/>
      <c r="D1490" s="320"/>
      <c r="E1490" s="320"/>
      <c r="F1490" s="320"/>
      <c r="G1490" s="320"/>
      <c r="H1490" s="320"/>
      <c r="I1490" s="320"/>
      <c r="J1490" s="320"/>
      <c r="K1490" s="320"/>
      <c r="L1490" s="320"/>
      <c r="M1490" s="320"/>
      <c r="N1490" s="320"/>
      <c r="O1490" s="321"/>
      <c r="P1490" s="321"/>
      <c r="Y1490" s="326"/>
      <c r="Z1490" s="326"/>
      <c r="AA1490" s="326"/>
      <c r="AB1490" s="326"/>
      <c r="AC1490" s="326"/>
      <c r="AG1490" s="326"/>
      <c r="AH1490" s="326"/>
      <c r="AI1490" s="326"/>
      <c r="AL1490" s="326"/>
      <c r="AM1490" s="326"/>
      <c r="AN1490" s="326"/>
    </row>
    <row r="1491" spans="1:40" x14ac:dyDescent="0.15">
      <c r="A1491" s="327"/>
      <c r="B1491" s="320"/>
      <c r="C1491" s="320"/>
      <c r="D1491" s="320"/>
      <c r="E1491" s="320"/>
      <c r="F1491" s="320"/>
      <c r="G1491" s="320"/>
      <c r="H1491" s="320"/>
      <c r="I1491" s="320"/>
      <c r="J1491" s="320"/>
      <c r="K1491" s="320"/>
      <c r="L1491" s="320"/>
      <c r="M1491" s="320"/>
      <c r="N1491" s="320"/>
      <c r="O1491" s="321"/>
      <c r="P1491" s="321"/>
      <c r="Y1491" s="326"/>
      <c r="Z1491" s="326"/>
      <c r="AA1491" s="326"/>
      <c r="AB1491" s="326"/>
      <c r="AC1491" s="326"/>
      <c r="AG1491" s="326"/>
      <c r="AH1491" s="326"/>
      <c r="AI1491" s="326"/>
      <c r="AL1491" s="326"/>
      <c r="AM1491" s="326"/>
      <c r="AN1491" s="326"/>
    </row>
    <row r="1492" spans="1:40" x14ac:dyDescent="0.15">
      <c r="A1492" s="327"/>
      <c r="B1492" s="320"/>
      <c r="C1492" s="320"/>
      <c r="D1492" s="320"/>
      <c r="E1492" s="320"/>
      <c r="F1492" s="320"/>
      <c r="G1492" s="320"/>
      <c r="H1492" s="320"/>
      <c r="I1492" s="320"/>
      <c r="J1492" s="320"/>
      <c r="K1492" s="320"/>
      <c r="L1492" s="320"/>
      <c r="M1492" s="320"/>
      <c r="N1492" s="320"/>
      <c r="O1492" s="321"/>
      <c r="P1492" s="321"/>
      <c r="Y1492" s="326"/>
      <c r="Z1492" s="326"/>
      <c r="AA1492" s="326"/>
      <c r="AB1492" s="326"/>
      <c r="AC1492" s="326"/>
      <c r="AG1492" s="326"/>
      <c r="AH1492" s="326"/>
      <c r="AI1492" s="326"/>
      <c r="AL1492" s="326"/>
      <c r="AM1492" s="326"/>
      <c r="AN1492" s="326"/>
    </row>
    <row r="1493" spans="1:40" x14ac:dyDescent="0.15">
      <c r="A1493" s="327"/>
      <c r="B1493" s="320"/>
      <c r="C1493" s="320"/>
      <c r="D1493" s="320"/>
      <c r="E1493" s="320"/>
      <c r="F1493" s="320"/>
      <c r="G1493" s="320"/>
      <c r="H1493" s="320"/>
      <c r="I1493" s="320"/>
      <c r="J1493" s="320"/>
      <c r="K1493" s="320"/>
      <c r="L1493" s="320"/>
      <c r="M1493" s="320"/>
      <c r="N1493" s="320"/>
      <c r="O1493" s="321"/>
      <c r="P1493" s="321"/>
      <c r="Y1493" s="326"/>
      <c r="Z1493" s="326"/>
      <c r="AA1493" s="326"/>
      <c r="AB1493" s="326"/>
      <c r="AC1493" s="326"/>
      <c r="AG1493" s="326"/>
      <c r="AH1493" s="326"/>
      <c r="AI1493" s="326"/>
      <c r="AL1493" s="326"/>
      <c r="AM1493" s="326"/>
      <c r="AN1493" s="326"/>
    </row>
    <row r="1494" spans="1:40" x14ac:dyDescent="0.15">
      <c r="A1494" s="327"/>
      <c r="B1494" s="320"/>
      <c r="C1494" s="320"/>
      <c r="D1494" s="320"/>
      <c r="E1494" s="320"/>
      <c r="F1494" s="320"/>
      <c r="G1494" s="320"/>
      <c r="H1494" s="320"/>
      <c r="I1494" s="320"/>
      <c r="J1494" s="320"/>
      <c r="K1494" s="320"/>
      <c r="L1494" s="320"/>
      <c r="M1494" s="320"/>
      <c r="N1494" s="320"/>
      <c r="O1494" s="321"/>
      <c r="P1494" s="321"/>
      <c r="Y1494" s="326"/>
      <c r="Z1494" s="326"/>
      <c r="AA1494" s="326"/>
      <c r="AB1494" s="326"/>
      <c r="AC1494" s="326"/>
      <c r="AG1494" s="326"/>
      <c r="AH1494" s="326"/>
      <c r="AI1494" s="326"/>
      <c r="AL1494" s="326"/>
      <c r="AM1494" s="326"/>
      <c r="AN1494" s="326"/>
    </row>
    <row r="1495" spans="1:40" x14ac:dyDescent="0.15">
      <c r="A1495" s="327"/>
      <c r="B1495" s="320"/>
      <c r="C1495" s="320"/>
      <c r="D1495" s="320"/>
      <c r="E1495" s="320"/>
      <c r="F1495" s="320"/>
      <c r="G1495" s="320"/>
      <c r="H1495" s="320"/>
      <c r="I1495" s="320"/>
      <c r="J1495" s="320"/>
      <c r="K1495" s="320"/>
      <c r="L1495" s="320"/>
      <c r="M1495" s="320"/>
      <c r="N1495" s="320"/>
      <c r="O1495" s="321"/>
      <c r="P1495" s="321"/>
      <c r="Y1495" s="326"/>
      <c r="Z1495" s="326"/>
      <c r="AA1495" s="326"/>
      <c r="AB1495" s="326"/>
      <c r="AC1495" s="326"/>
      <c r="AG1495" s="326"/>
      <c r="AH1495" s="326"/>
      <c r="AI1495" s="326"/>
      <c r="AL1495" s="326"/>
      <c r="AM1495" s="326"/>
      <c r="AN1495" s="326"/>
    </row>
    <row r="1496" spans="1:40" x14ac:dyDescent="0.15">
      <c r="A1496" s="327"/>
      <c r="B1496" s="320"/>
      <c r="C1496" s="320"/>
      <c r="D1496" s="320"/>
      <c r="E1496" s="320"/>
      <c r="F1496" s="320"/>
      <c r="G1496" s="320"/>
      <c r="H1496" s="320"/>
      <c r="I1496" s="320"/>
      <c r="J1496" s="320"/>
      <c r="K1496" s="320"/>
      <c r="L1496" s="320"/>
      <c r="M1496" s="320"/>
      <c r="N1496" s="320"/>
      <c r="O1496" s="321"/>
      <c r="P1496" s="321"/>
      <c r="Y1496" s="326"/>
      <c r="Z1496" s="326"/>
      <c r="AA1496" s="326"/>
      <c r="AB1496" s="326"/>
      <c r="AC1496" s="326"/>
      <c r="AG1496" s="326"/>
      <c r="AH1496" s="326"/>
      <c r="AI1496" s="326"/>
      <c r="AL1496" s="326"/>
      <c r="AM1496" s="326"/>
      <c r="AN1496" s="326"/>
    </row>
    <row r="1497" spans="1:40" x14ac:dyDescent="0.15">
      <c r="A1497" s="327"/>
      <c r="B1497" s="320"/>
      <c r="C1497" s="320"/>
      <c r="D1497" s="320"/>
      <c r="E1497" s="320"/>
      <c r="F1497" s="320"/>
      <c r="G1497" s="320"/>
      <c r="H1497" s="320"/>
      <c r="I1497" s="320"/>
      <c r="J1497" s="320"/>
      <c r="K1497" s="320"/>
      <c r="L1497" s="320"/>
      <c r="M1497" s="320"/>
      <c r="N1497" s="320"/>
      <c r="O1497" s="321"/>
      <c r="P1497" s="321"/>
      <c r="Y1497" s="326"/>
      <c r="Z1497" s="326"/>
      <c r="AA1497" s="326"/>
      <c r="AB1497" s="326"/>
      <c r="AC1497" s="326"/>
      <c r="AG1497" s="326"/>
      <c r="AH1497" s="326"/>
      <c r="AI1497" s="326"/>
      <c r="AL1497" s="326"/>
      <c r="AM1497" s="326"/>
      <c r="AN1497" s="326"/>
    </row>
    <row r="1498" spans="1:40" x14ac:dyDescent="0.15">
      <c r="A1498" s="327"/>
      <c r="B1498" s="320"/>
      <c r="C1498" s="320"/>
      <c r="D1498" s="320"/>
      <c r="E1498" s="320"/>
      <c r="F1498" s="320"/>
      <c r="G1498" s="320"/>
      <c r="H1498" s="320"/>
      <c r="I1498" s="320"/>
      <c r="J1498" s="320"/>
      <c r="K1498" s="320"/>
      <c r="L1498" s="320"/>
      <c r="M1498" s="320"/>
      <c r="N1498" s="320"/>
      <c r="O1498" s="321"/>
      <c r="P1498" s="321"/>
      <c r="Y1498" s="326"/>
      <c r="Z1498" s="326"/>
      <c r="AA1498" s="326"/>
      <c r="AB1498" s="326"/>
      <c r="AC1498" s="326"/>
      <c r="AG1498" s="326"/>
      <c r="AH1498" s="326"/>
      <c r="AI1498" s="326"/>
      <c r="AL1498" s="326"/>
      <c r="AM1498" s="326"/>
      <c r="AN1498" s="326"/>
    </row>
    <row r="1499" spans="1:40" x14ac:dyDescent="0.15">
      <c r="A1499" s="327"/>
      <c r="B1499" s="320"/>
      <c r="C1499" s="320"/>
      <c r="D1499" s="320"/>
      <c r="E1499" s="320"/>
      <c r="F1499" s="320"/>
      <c r="G1499" s="320"/>
      <c r="H1499" s="320"/>
      <c r="I1499" s="320"/>
      <c r="J1499" s="320"/>
      <c r="K1499" s="320"/>
      <c r="L1499" s="320"/>
      <c r="M1499" s="320"/>
      <c r="N1499" s="320"/>
      <c r="O1499" s="321"/>
      <c r="P1499" s="321"/>
      <c r="Y1499" s="326"/>
      <c r="Z1499" s="326"/>
      <c r="AA1499" s="326"/>
      <c r="AB1499" s="326"/>
      <c r="AC1499" s="326"/>
      <c r="AG1499" s="326"/>
      <c r="AH1499" s="326"/>
      <c r="AI1499" s="326"/>
      <c r="AL1499" s="326"/>
      <c r="AM1499" s="326"/>
      <c r="AN1499" s="326"/>
    </row>
    <row r="1500" spans="1:40" x14ac:dyDescent="0.15">
      <c r="A1500" s="327"/>
      <c r="B1500" s="320"/>
      <c r="C1500" s="320"/>
      <c r="D1500" s="320"/>
      <c r="E1500" s="320"/>
      <c r="F1500" s="320"/>
      <c r="G1500" s="320"/>
      <c r="H1500" s="320"/>
      <c r="I1500" s="320"/>
      <c r="J1500" s="320"/>
      <c r="K1500" s="320"/>
      <c r="L1500" s="320"/>
      <c r="M1500" s="320"/>
      <c r="N1500" s="320"/>
      <c r="O1500" s="321"/>
      <c r="P1500" s="321"/>
      <c r="Y1500" s="326"/>
      <c r="Z1500" s="326"/>
      <c r="AA1500" s="326"/>
      <c r="AB1500" s="326"/>
      <c r="AC1500" s="326"/>
      <c r="AG1500" s="326"/>
      <c r="AH1500" s="326"/>
      <c r="AI1500" s="326"/>
      <c r="AL1500" s="326"/>
      <c r="AM1500" s="326"/>
      <c r="AN1500" s="326"/>
    </row>
    <row r="1501" spans="1:40" x14ac:dyDescent="0.15">
      <c r="A1501" s="327"/>
      <c r="B1501" s="320"/>
      <c r="C1501" s="320"/>
      <c r="D1501" s="320"/>
      <c r="E1501" s="320"/>
      <c r="F1501" s="320"/>
      <c r="G1501" s="320"/>
      <c r="H1501" s="320"/>
      <c r="I1501" s="320"/>
      <c r="J1501" s="320"/>
      <c r="K1501" s="320"/>
      <c r="L1501" s="320"/>
      <c r="M1501" s="320"/>
      <c r="N1501" s="320"/>
      <c r="O1501" s="321"/>
      <c r="P1501" s="321"/>
      <c r="Y1501" s="326"/>
      <c r="Z1501" s="326"/>
      <c r="AA1501" s="326"/>
      <c r="AB1501" s="326"/>
      <c r="AC1501" s="326"/>
      <c r="AG1501" s="326"/>
      <c r="AH1501" s="326"/>
      <c r="AI1501" s="326"/>
      <c r="AL1501" s="326"/>
      <c r="AM1501" s="326"/>
      <c r="AN1501" s="326"/>
    </row>
    <row r="1502" spans="1:40" x14ac:dyDescent="0.15">
      <c r="A1502" s="327"/>
      <c r="B1502" s="320"/>
      <c r="C1502" s="320"/>
      <c r="D1502" s="320"/>
      <c r="E1502" s="320"/>
      <c r="F1502" s="320"/>
      <c r="G1502" s="320"/>
      <c r="H1502" s="320"/>
      <c r="I1502" s="320"/>
      <c r="J1502" s="320"/>
      <c r="K1502" s="320"/>
      <c r="L1502" s="320"/>
      <c r="M1502" s="320"/>
      <c r="N1502" s="320"/>
      <c r="O1502" s="321"/>
      <c r="P1502" s="321"/>
      <c r="Y1502" s="326"/>
      <c r="Z1502" s="326"/>
      <c r="AA1502" s="326"/>
      <c r="AB1502" s="326"/>
      <c r="AC1502" s="326"/>
      <c r="AG1502" s="326"/>
      <c r="AH1502" s="326"/>
      <c r="AI1502" s="326"/>
      <c r="AL1502" s="326"/>
      <c r="AM1502" s="326"/>
      <c r="AN1502" s="326"/>
    </row>
    <row r="1503" spans="1:40" x14ac:dyDescent="0.15">
      <c r="A1503" s="327"/>
      <c r="B1503" s="320"/>
      <c r="C1503" s="320"/>
      <c r="D1503" s="320"/>
      <c r="E1503" s="320"/>
      <c r="F1503" s="320"/>
      <c r="G1503" s="320"/>
      <c r="H1503" s="320"/>
      <c r="I1503" s="320"/>
      <c r="J1503" s="320"/>
      <c r="K1503" s="320"/>
      <c r="L1503" s="320"/>
      <c r="M1503" s="320"/>
      <c r="N1503" s="320"/>
      <c r="O1503" s="321"/>
      <c r="P1503" s="321"/>
      <c r="Y1503" s="326"/>
      <c r="Z1503" s="326"/>
      <c r="AA1503" s="326"/>
      <c r="AB1503" s="326"/>
      <c r="AC1503" s="326"/>
      <c r="AG1503" s="326"/>
      <c r="AH1503" s="326"/>
      <c r="AI1503" s="326"/>
      <c r="AL1503" s="326"/>
      <c r="AM1503" s="326"/>
      <c r="AN1503" s="326"/>
    </row>
    <row r="1504" spans="1:40" x14ac:dyDescent="0.15">
      <c r="A1504" s="327"/>
      <c r="B1504" s="320"/>
      <c r="C1504" s="320"/>
      <c r="D1504" s="320"/>
      <c r="E1504" s="320"/>
      <c r="F1504" s="320"/>
      <c r="G1504" s="320"/>
      <c r="H1504" s="320"/>
      <c r="I1504" s="320"/>
      <c r="J1504" s="320"/>
      <c r="K1504" s="320"/>
      <c r="L1504" s="320"/>
      <c r="M1504" s="320"/>
      <c r="N1504" s="320"/>
      <c r="O1504" s="321"/>
      <c r="P1504" s="321"/>
      <c r="Y1504" s="326"/>
      <c r="Z1504" s="326"/>
      <c r="AA1504" s="326"/>
      <c r="AB1504" s="326"/>
      <c r="AC1504" s="326"/>
      <c r="AG1504" s="326"/>
      <c r="AH1504" s="326"/>
      <c r="AI1504" s="326"/>
      <c r="AL1504" s="326"/>
      <c r="AM1504" s="326"/>
      <c r="AN1504" s="326"/>
    </row>
    <row r="1505" spans="1:40" x14ac:dyDescent="0.15">
      <c r="A1505" s="327"/>
      <c r="B1505" s="320"/>
      <c r="C1505" s="320"/>
      <c r="D1505" s="320"/>
      <c r="E1505" s="320"/>
      <c r="F1505" s="320"/>
      <c r="G1505" s="320"/>
      <c r="H1505" s="320"/>
      <c r="I1505" s="320"/>
      <c r="J1505" s="320"/>
      <c r="K1505" s="320"/>
      <c r="L1505" s="320"/>
      <c r="M1505" s="320"/>
      <c r="N1505" s="320"/>
      <c r="O1505" s="321"/>
      <c r="P1505" s="321"/>
      <c r="Y1505" s="326"/>
      <c r="Z1505" s="326"/>
      <c r="AA1505" s="326"/>
      <c r="AB1505" s="326"/>
      <c r="AC1505" s="326"/>
      <c r="AG1505" s="326"/>
      <c r="AH1505" s="326"/>
      <c r="AI1505" s="326"/>
      <c r="AL1505" s="326"/>
      <c r="AM1505" s="326"/>
      <c r="AN1505" s="326"/>
    </row>
    <row r="1506" spans="1:40" x14ac:dyDescent="0.15">
      <c r="A1506" s="327"/>
      <c r="B1506" s="320"/>
      <c r="C1506" s="320"/>
      <c r="D1506" s="320"/>
      <c r="E1506" s="320"/>
      <c r="F1506" s="320"/>
      <c r="G1506" s="320"/>
      <c r="H1506" s="320"/>
      <c r="I1506" s="320"/>
      <c r="J1506" s="320"/>
      <c r="K1506" s="320"/>
      <c r="L1506" s="320"/>
      <c r="M1506" s="320"/>
      <c r="N1506" s="320"/>
      <c r="O1506" s="321"/>
      <c r="P1506" s="321"/>
      <c r="Y1506" s="326"/>
      <c r="Z1506" s="326"/>
      <c r="AA1506" s="326"/>
      <c r="AB1506" s="326"/>
      <c r="AC1506" s="326"/>
      <c r="AG1506" s="326"/>
      <c r="AH1506" s="326"/>
      <c r="AI1506" s="326"/>
      <c r="AL1506" s="326"/>
      <c r="AM1506" s="326"/>
      <c r="AN1506" s="326"/>
    </row>
    <row r="1507" spans="1:40" x14ac:dyDescent="0.15">
      <c r="A1507" s="327"/>
      <c r="B1507" s="320"/>
      <c r="C1507" s="320"/>
      <c r="D1507" s="320"/>
      <c r="E1507" s="320"/>
      <c r="F1507" s="320"/>
      <c r="G1507" s="320"/>
      <c r="H1507" s="320"/>
      <c r="I1507" s="320"/>
      <c r="J1507" s="320"/>
      <c r="K1507" s="320"/>
      <c r="L1507" s="320"/>
      <c r="M1507" s="320"/>
      <c r="N1507" s="320"/>
      <c r="O1507" s="321"/>
      <c r="P1507" s="321"/>
      <c r="Y1507" s="326"/>
      <c r="Z1507" s="326"/>
      <c r="AA1507" s="326"/>
      <c r="AB1507" s="326"/>
      <c r="AC1507" s="326"/>
      <c r="AG1507" s="326"/>
      <c r="AH1507" s="326"/>
      <c r="AI1507" s="326"/>
      <c r="AL1507" s="326"/>
      <c r="AM1507" s="326"/>
      <c r="AN1507" s="326"/>
    </row>
    <row r="1508" spans="1:40" x14ac:dyDescent="0.15">
      <c r="A1508" s="327"/>
      <c r="B1508" s="320"/>
      <c r="C1508" s="320"/>
      <c r="D1508" s="320"/>
      <c r="E1508" s="320"/>
      <c r="F1508" s="320"/>
      <c r="G1508" s="320"/>
      <c r="H1508" s="320"/>
      <c r="I1508" s="320"/>
      <c r="J1508" s="320"/>
      <c r="K1508" s="320"/>
      <c r="L1508" s="320"/>
      <c r="M1508" s="320"/>
      <c r="N1508" s="320"/>
      <c r="O1508" s="321"/>
      <c r="P1508" s="321"/>
      <c r="Y1508" s="326"/>
      <c r="Z1508" s="326"/>
      <c r="AA1508" s="326"/>
      <c r="AB1508" s="326"/>
      <c r="AC1508" s="326"/>
      <c r="AG1508" s="326"/>
      <c r="AH1508" s="326"/>
      <c r="AI1508" s="326"/>
      <c r="AL1508" s="326"/>
      <c r="AM1508" s="326"/>
      <c r="AN1508" s="326"/>
    </row>
    <row r="1509" spans="1:40" x14ac:dyDescent="0.15">
      <c r="A1509" s="327"/>
      <c r="B1509" s="320"/>
      <c r="C1509" s="320"/>
      <c r="D1509" s="320"/>
      <c r="E1509" s="320"/>
      <c r="F1509" s="320"/>
      <c r="G1509" s="320"/>
      <c r="H1509" s="320"/>
      <c r="I1509" s="320"/>
      <c r="J1509" s="320"/>
      <c r="K1509" s="320"/>
      <c r="L1509" s="320"/>
      <c r="M1509" s="320"/>
      <c r="N1509" s="320"/>
      <c r="O1509" s="321"/>
      <c r="P1509" s="321"/>
      <c r="Y1509" s="326"/>
      <c r="Z1509" s="326"/>
      <c r="AA1509" s="326"/>
      <c r="AB1509" s="326"/>
      <c r="AC1509" s="326"/>
      <c r="AG1509" s="326"/>
      <c r="AH1509" s="326"/>
      <c r="AI1509" s="326"/>
      <c r="AL1509" s="326"/>
      <c r="AM1509" s="326"/>
      <c r="AN1509" s="326"/>
    </row>
    <row r="1510" spans="1:40" x14ac:dyDescent="0.15">
      <c r="A1510" s="327"/>
      <c r="B1510" s="320"/>
      <c r="C1510" s="320"/>
      <c r="D1510" s="320"/>
      <c r="E1510" s="320"/>
      <c r="F1510" s="320"/>
      <c r="G1510" s="320"/>
      <c r="H1510" s="320"/>
      <c r="I1510" s="320"/>
      <c r="J1510" s="320"/>
      <c r="K1510" s="320"/>
      <c r="L1510" s="320"/>
      <c r="M1510" s="320"/>
      <c r="N1510" s="320"/>
      <c r="O1510" s="321"/>
      <c r="P1510" s="321"/>
      <c r="Y1510" s="326"/>
      <c r="Z1510" s="326"/>
      <c r="AA1510" s="326"/>
      <c r="AB1510" s="326"/>
      <c r="AC1510" s="326"/>
      <c r="AG1510" s="326"/>
      <c r="AH1510" s="326"/>
      <c r="AI1510" s="326"/>
      <c r="AL1510" s="326"/>
      <c r="AM1510" s="326"/>
      <c r="AN1510" s="326"/>
    </row>
    <row r="1511" spans="1:40" x14ac:dyDescent="0.15">
      <c r="A1511" s="327"/>
      <c r="B1511" s="320"/>
      <c r="C1511" s="320"/>
      <c r="D1511" s="320"/>
      <c r="E1511" s="320"/>
      <c r="F1511" s="320"/>
      <c r="G1511" s="320"/>
      <c r="H1511" s="320"/>
      <c r="I1511" s="320"/>
      <c r="J1511" s="320"/>
      <c r="K1511" s="320"/>
      <c r="L1511" s="320"/>
      <c r="M1511" s="320"/>
      <c r="N1511" s="320"/>
      <c r="O1511" s="321"/>
      <c r="P1511" s="321"/>
      <c r="Y1511" s="326"/>
      <c r="Z1511" s="326"/>
      <c r="AA1511" s="326"/>
      <c r="AB1511" s="326"/>
      <c r="AC1511" s="326"/>
      <c r="AG1511" s="326"/>
      <c r="AH1511" s="326"/>
      <c r="AI1511" s="326"/>
      <c r="AL1511" s="326"/>
      <c r="AM1511" s="326"/>
      <c r="AN1511" s="326"/>
    </row>
    <row r="1512" spans="1:40" x14ac:dyDescent="0.15">
      <c r="A1512" s="327"/>
      <c r="B1512" s="320"/>
      <c r="C1512" s="320"/>
      <c r="D1512" s="320"/>
      <c r="E1512" s="320"/>
      <c r="F1512" s="320"/>
      <c r="G1512" s="320"/>
      <c r="H1512" s="320"/>
      <c r="I1512" s="320"/>
      <c r="J1512" s="320"/>
      <c r="K1512" s="320"/>
      <c r="L1512" s="320"/>
      <c r="M1512" s="320"/>
      <c r="N1512" s="320"/>
      <c r="O1512" s="321"/>
      <c r="P1512" s="321"/>
      <c r="Y1512" s="326"/>
      <c r="Z1512" s="326"/>
      <c r="AA1512" s="326"/>
      <c r="AB1512" s="326"/>
      <c r="AC1512" s="326"/>
      <c r="AG1512" s="326"/>
      <c r="AH1512" s="326"/>
      <c r="AI1512" s="326"/>
      <c r="AL1512" s="326"/>
      <c r="AM1512" s="326"/>
      <c r="AN1512" s="326"/>
    </row>
    <row r="1513" spans="1:40" x14ac:dyDescent="0.15">
      <c r="A1513" s="327"/>
      <c r="B1513" s="320"/>
      <c r="C1513" s="320"/>
      <c r="D1513" s="320"/>
      <c r="E1513" s="320"/>
      <c r="F1513" s="320"/>
      <c r="G1513" s="320"/>
      <c r="H1513" s="320"/>
      <c r="I1513" s="320"/>
      <c r="J1513" s="320"/>
      <c r="K1513" s="320"/>
      <c r="L1513" s="320"/>
      <c r="M1513" s="320"/>
      <c r="N1513" s="320"/>
      <c r="O1513" s="321"/>
      <c r="P1513" s="321"/>
      <c r="Y1513" s="326"/>
      <c r="Z1513" s="326"/>
      <c r="AA1513" s="326"/>
      <c r="AB1513" s="326"/>
      <c r="AC1513" s="326"/>
      <c r="AG1513" s="326"/>
      <c r="AH1513" s="326"/>
      <c r="AI1513" s="326"/>
      <c r="AL1513" s="326"/>
      <c r="AM1513" s="326"/>
      <c r="AN1513" s="326"/>
    </row>
    <row r="1514" spans="1:40" x14ac:dyDescent="0.15">
      <c r="A1514" s="327"/>
      <c r="B1514" s="320"/>
      <c r="C1514" s="320"/>
      <c r="D1514" s="320"/>
      <c r="E1514" s="320"/>
      <c r="F1514" s="320"/>
      <c r="G1514" s="320"/>
      <c r="H1514" s="320"/>
      <c r="I1514" s="320"/>
      <c r="J1514" s="320"/>
      <c r="K1514" s="320"/>
      <c r="L1514" s="320"/>
      <c r="M1514" s="320"/>
      <c r="N1514" s="320"/>
      <c r="O1514" s="321"/>
      <c r="P1514" s="321"/>
      <c r="Y1514" s="326"/>
      <c r="Z1514" s="326"/>
      <c r="AA1514" s="326"/>
      <c r="AB1514" s="326"/>
      <c r="AC1514" s="326"/>
      <c r="AG1514" s="326"/>
      <c r="AH1514" s="326"/>
      <c r="AI1514" s="326"/>
      <c r="AL1514" s="326"/>
      <c r="AM1514" s="326"/>
      <c r="AN1514" s="326"/>
    </row>
    <row r="1515" spans="1:40" x14ac:dyDescent="0.15">
      <c r="A1515" s="327"/>
      <c r="B1515" s="320"/>
      <c r="C1515" s="320"/>
      <c r="D1515" s="320"/>
      <c r="E1515" s="320"/>
      <c r="F1515" s="320"/>
      <c r="G1515" s="320"/>
      <c r="H1515" s="320"/>
      <c r="I1515" s="320"/>
      <c r="J1515" s="320"/>
      <c r="K1515" s="320"/>
      <c r="L1515" s="320"/>
      <c r="M1515" s="320"/>
      <c r="N1515" s="320"/>
      <c r="O1515" s="321"/>
      <c r="P1515" s="321"/>
      <c r="Y1515" s="326"/>
      <c r="Z1515" s="326"/>
      <c r="AA1515" s="326"/>
      <c r="AB1515" s="326"/>
      <c r="AC1515" s="326"/>
      <c r="AG1515" s="326"/>
      <c r="AH1515" s="326"/>
      <c r="AI1515" s="326"/>
      <c r="AL1515" s="326"/>
      <c r="AM1515" s="326"/>
      <c r="AN1515" s="326"/>
    </row>
    <row r="1516" spans="1:40" x14ac:dyDescent="0.15">
      <c r="A1516" s="327"/>
      <c r="B1516" s="320"/>
      <c r="C1516" s="320"/>
      <c r="D1516" s="320"/>
      <c r="E1516" s="320"/>
      <c r="F1516" s="320"/>
      <c r="G1516" s="320"/>
      <c r="H1516" s="320"/>
      <c r="I1516" s="320"/>
      <c r="J1516" s="320"/>
      <c r="K1516" s="320"/>
      <c r="L1516" s="320"/>
      <c r="M1516" s="320"/>
      <c r="N1516" s="320"/>
      <c r="O1516" s="321"/>
      <c r="P1516" s="321"/>
      <c r="Y1516" s="326"/>
      <c r="Z1516" s="326"/>
      <c r="AA1516" s="326"/>
      <c r="AB1516" s="326"/>
      <c r="AC1516" s="326"/>
      <c r="AG1516" s="326"/>
      <c r="AH1516" s="326"/>
      <c r="AI1516" s="326"/>
      <c r="AL1516" s="326"/>
      <c r="AM1516" s="326"/>
      <c r="AN1516" s="326"/>
    </row>
    <row r="1517" spans="1:40" x14ac:dyDescent="0.15">
      <c r="A1517" s="327"/>
      <c r="B1517" s="320"/>
      <c r="C1517" s="320"/>
      <c r="D1517" s="320"/>
      <c r="E1517" s="320"/>
      <c r="F1517" s="320"/>
      <c r="G1517" s="320"/>
      <c r="H1517" s="320"/>
      <c r="I1517" s="320"/>
      <c r="J1517" s="320"/>
      <c r="K1517" s="320"/>
      <c r="L1517" s="320"/>
      <c r="M1517" s="320"/>
      <c r="N1517" s="320"/>
      <c r="O1517" s="321"/>
      <c r="P1517" s="321"/>
      <c r="Y1517" s="326"/>
      <c r="Z1517" s="326"/>
      <c r="AA1517" s="326"/>
      <c r="AB1517" s="326"/>
      <c r="AC1517" s="326"/>
      <c r="AG1517" s="326"/>
      <c r="AH1517" s="326"/>
      <c r="AI1517" s="326"/>
      <c r="AL1517" s="326"/>
      <c r="AM1517" s="326"/>
      <c r="AN1517" s="326"/>
    </row>
    <row r="1518" spans="1:40" x14ac:dyDescent="0.15">
      <c r="A1518" s="327"/>
      <c r="B1518" s="320"/>
      <c r="C1518" s="320"/>
      <c r="D1518" s="320"/>
      <c r="E1518" s="320"/>
      <c r="F1518" s="320"/>
      <c r="G1518" s="320"/>
      <c r="H1518" s="320"/>
      <c r="I1518" s="320"/>
      <c r="J1518" s="320"/>
      <c r="K1518" s="320"/>
      <c r="L1518" s="320"/>
      <c r="M1518" s="320"/>
      <c r="N1518" s="320"/>
      <c r="O1518" s="321"/>
      <c r="P1518" s="321"/>
      <c r="Y1518" s="326"/>
      <c r="Z1518" s="326"/>
      <c r="AA1518" s="326"/>
      <c r="AB1518" s="326"/>
      <c r="AC1518" s="326"/>
      <c r="AG1518" s="326"/>
      <c r="AH1518" s="326"/>
      <c r="AI1518" s="326"/>
      <c r="AL1518" s="326"/>
      <c r="AM1518" s="326"/>
      <c r="AN1518" s="326"/>
    </row>
    <row r="1519" spans="1:40" x14ac:dyDescent="0.15">
      <c r="A1519" s="327"/>
      <c r="B1519" s="320"/>
      <c r="C1519" s="320"/>
      <c r="D1519" s="320"/>
      <c r="E1519" s="320"/>
      <c r="F1519" s="320"/>
      <c r="G1519" s="320"/>
      <c r="H1519" s="320"/>
      <c r="I1519" s="320"/>
      <c r="J1519" s="320"/>
      <c r="K1519" s="320"/>
      <c r="L1519" s="320"/>
      <c r="M1519" s="320"/>
      <c r="N1519" s="320"/>
      <c r="O1519" s="321"/>
      <c r="P1519" s="321"/>
      <c r="Y1519" s="326"/>
      <c r="Z1519" s="326"/>
      <c r="AA1519" s="326"/>
      <c r="AB1519" s="326"/>
      <c r="AC1519" s="326"/>
      <c r="AG1519" s="326"/>
      <c r="AH1519" s="326"/>
      <c r="AI1519" s="326"/>
      <c r="AL1519" s="326"/>
      <c r="AM1519" s="326"/>
      <c r="AN1519" s="326"/>
    </row>
    <row r="1520" spans="1:40" x14ac:dyDescent="0.15">
      <c r="A1520" s="327"/>
      <c r="B1520" s="320"/>
      <c r="C1520" s="320"/>
      <c r="D1520" s="320"/>
      <c r="E1520" s="320"/>
      <c r="F1520" s="320"/>
      <c r="G1520" s="320"/>
      <c r="H1520" s="320"/>
      <c r="I1520" s="320"/>
      <c r="J1520" s="320"/>
      <c r="K1520" s="320"/>
      <c r="L1520" s="320"/>
      <c r="M1520" s="320"/>
      <c r="N1520" s="320"/>
      <c r="O1520" s="321"/>
      <c r="P1520" s="321"/>
      <c r="Y1520" s="326"/>
      <c r="Z1520" s="326"/>
      <c r="AA1520" s="326"/>
      <c r="AB1520" s="326"/>
      <c r="AC1520" s="326"/>
      <c r="AG1520" s="326"/>
      <c r="AH1520" s="326"/>
      <c r="AI1520" s="326"/>
      <c r="AL1520" s="326"/>
      <c r="AM1520" s="326"/>
      <c r="AN1520" s="326"/>
    </row>
    <row r="1521" spans="1:40" x14ac:dyDescent="0.15">
      <c r="A1521" s="327"/>
      <c r="B1521" s="320"/>
      <c r="C1521" s="320"/>
      <c r="D1521" s="320"/>
      <c r="E1521" s="320"/>
      <c r="F1521" s="320"/>
      <c r="G1521" s="320"/>
      <c r="H1521" s="320"/>
      <c r="I1521" s="320"/>
      <c r="J1521" s="320"/>
      <c r="K1521" s="320"/>
      <c r="L1521" s="320"/>
      <c r="M1521" s="320"/>
      <c r="N1521" s="320"/>
      <c r="O1521" s="321"/>
      <c r="P1521" s="321"/>
      <c r="Y1521" s="326"/>
      <c r="Z1521" s="326"/>
      <c r="AA1521" s="326"/>
      <c r="AB1521" s="326"/>
      <c r="AC1521" s="326"/>
      <c r="AG1521" s="326"/>
      <c r="AH1521" s="326"/>
      <c r="AI1521" s="326"/>
      <c r="AL1521" s="326"/>
      <c r="AM1521" s="326"/>
      <c r="AN1521" s="326"/>
    </row>
    <row r="1522" spans="1:40" x14ac:dyDescent="0.15">
      <c r="A1522" s="327"/>
      <c r="B1522" s="320"/>
      <c r="C1522" s="320"/>
      <c r="D1522" s="320"/>
      <c r="E1522" s="320"/>
      <c r="F1522" s="320"/>
      <c r="G1522" s="320"/>
      <c r="H1522" s="320"/>
      <c r="I1522" s="320"/>
      <c r="J1522" s="320"/>
      <c r="K1522" s="320"/>
      <c r="L1522" s="320"/>
      <c r="M1522" s="320"/>
      <c r="N1522" s="320"/>
      <c r="O1522" s="321"/>
      <c r="P1522" s="321"/>
      <c r="Y1522" s="326"/>
      <c r="Z1522" s="326"/>
      <c r="AA1522" s="326"/>
      <c r="AB1522" s="326"/>
      <c r="AC1522" s="326"/>
      <c r="AG1522" s="326"/>
      <c r="AH1522" s="326"/>
      <c r="AI1522" s="326"/>
      <c r="AL1522" s="326"/>
      <c r="AM1522" s="326"/>
      <c r="AN1522" s="326"/>
    </row>
    <row r="1523" spans="1:40" x14ac:dyDescent="0.15">
      <c r="A1523" s="327"/>
      <c r="B1523" s="320"/>
      <c r="C1523" s="320"/>
      <c r="D1523" s="320"/>
      <c r="E1523" s="320"/>
      <c r="F1523" s="320"/>
      <c r="G1523" s="320"/>
      <c r="H1523" s="320"/>
      <c r="I1523" s="320"/>
      <c r="J1523" s="320"/>
      <c r="K1523" s="320"/>
      <c r="L1523" s="320"/>
      <c r="M1523" s="320"/>
      <c r="N1523" s="320"/>
      <c r="O1523" s="321"/>
      <c r="P1523" s="321"/>
      <c r="Y1523" s="326"/>
      <c r="Z1523" s="326"/>
      <c r="AA1523" s="326"/>
      <c r="AB1523" s="326"/>
      <c r="AC1523" s="326"/>
      <c r="AG1523" s="326"/>
      <c r="AH1523" s="326"/>
      <c r="AI1523" s="326"/>
      <c r="AL1523" s="326"/>
      <c r="AM1523" s="326"/>
      <c r="AN1523" s="326"/>
    </row>
    <row r="1524" spans="1:40" x14ac:dyDescent="0.15">
      <c r="A1524" s="327"/>
      <c r="B1524" s="320"/>
      <c r="C1524" s="320"/>
      <c r="D1524" s="320"/>
      <c r="E1524" s="320"/>
      <c r="F1524" s="320"/>
      <c r="G1524" s="320"/>
      <c r="H1524" s="320"/>
      <c r="I1524" s="320"/>
      <c r="J1524" s="320"/>
      <c r="K1524" s="320"/>
      <c r="L1524" s="320"/>
      <c r="M1524" s="320"/>
      <c r="N1524" s="320"/>
      <c r="O1524" s="321"/>
      <c r="P1524" s="321"/>
      <c r="Y1524" s="326"/>
      <c r="Z1524" s="326"/>
      <c r="AA1524" s="326"/>
      <c r="AB1524" s="326"/>
      <c r="AC1524" s="326"/>
      <c r="AG1524" s="326"/>
      <c r="AH1524" s="326"/>
      <c r="AI1524" s="326"/>
      <c r="AL1524" s="326"/>
      <c r="AM1524" s="326"/>
      <c r="AN1524" s="326"/>
    </row>
    <row r="1525" spans="1:40" x14ac:dyDescent="0.15">
      <c r="A1525" s="327"/>
      <c r="B1525" s="320"/>
      <c r="C1525" s="320"/>
      <c r="D1525" s="320"/>
      <c r="E1525" s="320"/>
      <c r="F1525" s="320"/>
      <c r="G1525" s="320"/>
      <c r="H1525" s="320"/>
      <c r="I1525" s="320"/>
      <c r="J1525" s="320"/>
      <c r="K1525" s="320"/>
      <c r="L1525" s="320"/>
      <c r="M1525" s="320"/>
      <c r="N1525" s="320"/>
      <c r="O1525" s="321"/>
      <c r="P1525" s="321"/>
      <c r="Y1525" s="326"/>
      <c r="Z1525" s="326"/>
      <c r="AA1525" s="326"/>
      <c r="AB1525" s="326"/>
      <c r="AC1525" s="326"/>
      <c r="AG1525" s="326"/>
      <c r="AH1525" s="326"/>
      <c r="AI1525" s="326"/>
      <c r="AL1525" s="326"/>
      <c r="AM1525" s="326"/>
      <c r="AN1525" s="326"/>
    </row>
    <row r="1526" spans="1:40" x14ac:dyDescent="0.15">
      <c r="A1526" s="327"/>
      <c r="B1526" s="320"/>
      <c r="C1526" s="320"/>
      <c r="D1526" s="320"/>
      <c r="E1526" s="320"/>
      <c r="F1526" s="320"/>
      <c r="G1526" s="320"/>
      <c r="H1526" s="320"/>
      <c r="I1526" s="320"/>
      <c r="J1526" s="320"/>
      <c r="K1526" s="320"/>
      <c r="L1526" s="320"/>
      <c r="M1526" s="320"/>
      <c r="N1526" s="320"/>
      <c r="O1526" s="321"/>
      <c r="P1526" s="321"/>
      <c r="Y1526" s="326"/>
      <c r="Z1526" s="326"/>
      <c r="AA1526" s="326"/>
      <c r="AB1526" s="326"/>
      <c r="AC1526" s="326"/>
      <c r="AG1526" s="326"/>
      <c r="AH1526" s="326"/>
      <c r="AI1526" s="326"/>
      <c r="AL1526" s="326"/>
      <c r="AM1526" s="326"/>
      <c r="AN1526" s="326"/>
    </row>
    <row r="1527" spans="1:40" x14ac:dyDescent="0.15">
      <c r="A1527" s="327"/>
      <c r="B1527" s="320"/>
      <c r="C1527" s="320"/>
      <c r="D1527" s="320"/>
      <c r="E1527" s="320"/>
      <c r="F1527" s="320"/>
      <c r="G1527" s="320"/>
      <c r="H1527" s="320"/>
      <c r="I1527" s="320"/>
      <c r="J1527" s="320"/>
      <c r="K1527" s="320"/>
      <c r="L1527" s="320"/>
      <c r="M1527" s="320"/>
      <c r="N1527" s="320"/>
      <c r="O1527" s="321"/>
      <c r="P1527" s="321"/>
      <c r="Y1527" s="326"/>
      <c r="Z1527" s="326"/>
      <c r="AA1527" s="326"/>
      <c r="AB1527" s="326"/>
      <c r="AC1527" s="326"/>
      <c r="AG1527" s="326"/>
      <c r="AH1527" s="326"/>
      <c r="AI1527" s="326"/>
      <c r="AL1527" s="326"/>
      <c r="AM1527" s="326"/>
      <c r="AN1527" s="326"/>
    </row>
    <row r="1528" spans="1:40" x14ac:dyDescent="0.15">
      <c r="A1528" s="327"/>
      <c r="B1528" s="320"/>
      <c r="C1528" s="320"/>
      <c r="D1528" s="320"/>
      <c r="E1528" s="320"/>
      <c r="F1528" s="320"/>
      <c r="G1528" s="320"/>
      <c r="H1528" s="320"/>
      <c r="I1528" s="320"/>
      <c r="J1528" s="320"/>
      <c r="K1528" s="320"/>
      <c r="L1528" s="320"/>
      <c r="M1528" s="320"/>
      <c r="N1528" s="320"/>
      <c r="O1528" s="321"/>
      <c r="P1528" s="321"/>
      <c r="Y1528" s="326"/>
      <c r="Z1528" s="326"/>
      <c r="AA1528" s="326"/>
      <c r="AB1528" s="326"/>
      <c r="AC1528" s="326"/>
      <c r="AG1528" s="326"/>
      <c r="AH1528" s="326"/>
      <c r="AI1528" s="326"/>
      <c r="AL1528" s="326"/>
      <c r="AM1528" s="326"/>
      <c r="AN1528" s="326"/>
    </row>
    <row r="1529" spans="1:40" x14ac:dyDescent="0.15">
      <c r="A1529" s="327"/>
      <c r="B1529" s="320"/>
      <c r="C1529" s="320"/>
      <c r="D1529" s="320"/>
      <c r="E1529" s="320"/>
      <c r="F1529" s="320"/>
      <c r="G1529" s="320"/>
      <c r="H1529" s="320"/>
      <c r="I1529" s="320"/>
      <c r="J1529" s="320"/>
      <c r="K1529" s="320"/>
      <c r="L1529" s="320"/>
      <c r="M1529" s="320"/>
      <c r="N1529" s="320"/>
      <c r="O1529" s="321"/>
      <c r="P1529" s="321"/>
      <c r="Y1529" s="326"/>
      <c r="Z1529" s="326"/>
      <c r="AA1529" s="326"/>
      <c r="AB1529" s="326"/>
      <c r="AC1529" s="326"/>
      <c r="AG1529" s="326"/>
      <c r="AH1529" s="326"/>
      <c r="AI1529" s="326"/>
      <c r="AL1529" s="326"/>
      <c r="AM1529" s="326"/>
      <c r="AN1529" s="326"/>
    </row>
    <row r="1530" spans="1:40" x14ac:dyDescent="0.15">
      <c r="A1530" s="327"/>
      <c r="B1530" s="320"/>
      <c r="C1530" s="320"/>
      <c r="D1530" s="320"/>
      <c r="E1530" s="320"/>
      <c r="F1530" s="320"/>
      <c r="G1530" s="320"/>
      <c r="H1530" s="320"/>
      <c r="I1530" s="320"/>
      <c r="J1530" s="320"/>
      <c r="K1530" s="320"/>
      <c r="L1530" s="320"/>
      <c r="M1530" s="320"/>
      <c r="N1530" s="320"/>
      <c r="O1530" s="321"/>
      <c r="P1530" s="321"/>
      <c r="Y1530" s="326"/>
      <c r="Z1530" s="326"/>
      <c r="AA1530" s="326"/>
      <c r="AB1530" s="326"/>
      <c r="AC1530" s="326"/>
      <c r="AG1530" s="326"/>
      <c r="AH1530" s="326"/>
      <c r="AI1530" s="326"/>
      <c r="AL1530" s="326"/>
      <c r="AM1530" s="326"/>
      <c r="AN1530" s="326"/>
    </row>
    <row r="1531" spans="1:40" x14ac:dyDescent="0.15">
      <c r="A1531" s="327"/>
      <c r="B1531" s="320"/>
      <c r="C1531" s="320"/>
      <c r="D1531" s="320"/>
      <c r="E1531" s="320"/>
      <c r="F1531" s="320"/>
      <c r="G1531" s="320"/>
      <c r="H1531" s="320"/>
      <c r="I1531" s="320"/>
      <c r="J1531" s="320"/>
      <c r="K1531" s="320"/>
      <c r="L1531" s="320"/>
      <c r="M1531" s="320"/>
      <c r="N1531" s="320"/>
      <c r="O1531" s="321"/>
      <c r="P1531" s="321"/>
      <c r="Y1531" s="326"/>
      <c r="Z1531" s="326"/>
      <c r="AA1531" s="326"/>
      <c r="AB1531" s="326"/>
      <c r="AC1531" s="326"/>
      <c r="AG1531" s="326"/>
      <c r="AH1531" s="326"/>
      <c r="AI1531" s="326"/>
      <c r="AL1531" s="326"/>
      <c r="AM1531" s="326"/>
      <c r="AN1531" s="326"/>
    </row>
    <row r="1532" spans="1:40" x14ac:dyDescent="0.15">
      <c r="A1532" s="327"/>
      <c r="B1532" s="320"/>
      <c r="C1532" s="320"/>
      <c r="D1532" s="320"/>
      <c r="E1532" s="320"/>
      <c r="F1532" s="320"/>
      <c r="G1532" s="320"/>
      <c r="H1532" s="320"/>
      <c r="I1532" s="320"/>
      <c r="J1532" s="320"/>
      <c r="K1532" s="320"/>
      <c r="L1532" s="320"/>
      <c r="M1532" s="320"/>
      <c r="N1532" s="320"/>
      <c r="O1532" s="321"/>
      <c r="P1532" s="321"/>
      <c r="Y1532" s="326"/>
      <c r="Z1532" s="326"/>
      <c r="AA1532" s="326"/>
      <c r="AB1532" s="326"/>
      <c r="AC1532" s="326"/>
      <c r="AG1532" s="326"/>
      <c r="AH1532" s="326"/>
      <c r="AI1532" s="326"/>
      <c r="AL1532" s="326"/>
      <c r="AM1532" s="326"/>
      <c r="AN1532" s="326"/>
    </row>
    <row r="1533" spans="1:40" x14ac:dyDescent="0.15">
      <c r="A1533" s="327"/>
      <c r="B1533" s="320"/>
      <c r="C1533" s="320"/>
      <c r="D1533" s="320"/>
      <c r="E1533" s="320"/>
      <c r="F1533" s="320"/>
      <c r="G1533" s="320"/>
      <c r="H1533" s="320"/>
      <c r="I1533" s="320"/>
      <c r="J1533" s="320"/>
      <c r="K1533" s="320"/>
      <c r="L1533" s="320"/>
      <c r="M1533" s="320"/>
      <c r="N1533" s="320"/>
      <c r="O1533" s="321"/>
      <c r="P1533" s="321"/>
      <c r="Y1533" s="326"/>
      <c r="Z1533" s="326"/>
      <c r="AA1533" s="326"/>
      <c r="AB1533" s="326"/>
      <c r="AC1533" s="326"/>
      <c r="AG1533" s="326"/>
      <c r="AH1533" s="326"/>
      <c r="AI1533" s="326"/>
      <c r="AL1533" s="326"/>
      <c r="AM1533" s="326"/>
      <c r="AN1533" s="326"/>
    </row>
    <row r="1534" spans="1:40" x14ac:dyDescent="0.15">
      <c r="A1534" s="327"/>
      <c r="B1534" s="320"/>
      <c r="C1534" s="320"/>
      <c r="D1534" s="320"/>
      <c r="E1534" s="320"/>
      <c r="F1534" s="320"/>
      <c r="G1534" s="320"/>
      <c r="H1534" s="320"/>
      <c r="I1534" s="320"/>
      <c r="J1534" s="320"/>
      <c r="K1534" s="320"/>
      <c r="L1534" s="320"/>
      <c r="M1534" s="320"/>
      <c r="N1534" s="320"/>
      <c r="O1534" s="321"/>
      <c r="P1534" s="321"/>
      <c r="Y1534" s="326"/>
      <c r="Z1534" s="326"/>
      <c r="AA1534" s="326"/>
      <c r="AB1534" s="326"/>
      <c r="AC1534" s="326"/>
      <c r="AG1534" s="326"/>
      <c r="AH1534" s="326"/>
      <c r="AI1534" s="326"/>
      <c r="AL1534" s="326"/>
      <c r="AM1534" s="326"/>
      <c r="AN1534" s="326"/>
    </row>
    <row r="1535" spans="1:40" x14ac:dyDescent="0.15">
      <c r="A1535" s="327"/>
      <c r="B1535" s="320"/>
      <c r="C1535" s="320"/>
      <c r="D1535" s="320"/>
      <c r="E1535" s="320"/>
      <c r="F1535" s="320"/>
      <c r="G1535" s="320"/>
      <c r="H1535" s="320"/>
      <c r="I1535" s="320"/>
      <c r="J1535" s="320"/>
      <c r="K1535" s="320"/>
      <c r="L1535" s="320"/>
      <c r="M1535" s="320"/>
      <c r="N1535" s="320"/>
      <c r="O1535" s="321"/>
      <c r="P1535" s="321"/>
      <c r="Y1535" s="326"/>
      <c r="Z1535" s="326"/>
      <c r="AA1535" s="326"/>
      <c r="AB1535" s="326"/>
      <c r="AC1535" s="326"/>
      <c r="AG1535" s="326"/>
      <c r="AH1535" s="326"/>
      <c r="AI1535" s="326"/>
      <c r="AL1535" s="326"/>
      <c r="AM1535" s="326"/>
      <c r="AN1535" s="326"/>
    </row>
    <row r="1536" spans="1:40" x14ac:dyDescent="0.15">
      <c r="A1536" s="327"/>
      <c r="B1536" s="320"/>
      <c r="C1536" s="320"/>
      <c r="D1536" s="320"/>
      <c r="E1536" s="320"/>
      <c r="F1536" s="320"/>
      <c r="G1536" s="320"/>
      <c r="H1536" s="320"/>
      <c r="I1536" s="320"/>
      <c r="J1536" s="320"/>
      <c r="K1536" s="320"/>
      <c r="L1536" s="320"/>
      <c r="M1536" s="320"/>
      <c r="N1536" s="320"/>
      <c r="O1536" s="321"/>
      <c r="P1536" s="321"/>
      <c r="Y1536" s="326"/>
      <c r="Z1536" s="326"/>
      <c r="AA1536" s="326"/>
      <c r="AB1536" s="326"/>
      <c r="AC1536" s="326"/>
      <c r="AG1536" s="326"/>
      <c r="AH1536" s="326"/>
      <c r="AI1536" s="326"/>
      <c r="AL1536" s="326"/>
      <c r="AM1536" s="326"/>
      <c r="AN1536" s="326"/>
    </row>
    <row r="1537" spans="1:40" x14ac:dyDescent="0.15">
      <c r="A1537" s="327"/>
      <c r="B1537" s="320"/>
      <c r="C1537" s="320"/>
      <c r="D1537" s="320"/>
      <c r="E1537" s="320"/>
      <c r="F1537" s="320"/>
      <c r="G1537" s="320"/>
      <c r="H1537" s="320"/>
      <c r="I1537" s="320"/>
      <c r="J1537" s="320"/>
      <c r="K1537" s="320"/>
      <c r="L1537" s="320"/>
      <c r="M1537" s="320"/>
      <c r="N1537" s="320"/>
      <c r="O1537" s="321"/>
      <c r="P1537" s="321"/>
      <c r="Y1537" s="326"/>
      <c r="Z1537" s="326"/>
      <c r="AA1537" s="326"/>
      <c r="AB1537" s="326"/>
      <c r="AC1537" s="326"/>
      <c r="AG1537" s="326"/>
      <c r="AH1537" s="326"/>
      <c r="AI1537" s="326"/>
      <c r="AL1537" s="326"/>
      <c r="AM1537" s="326"/>
      <c r="AN1537" s="326"/>
    </row>
    <row r="1538" spans="1:40" x14ac:dyDescent="0.15">
      <c r="A1538" s="327"/>
      <c r="B1538" s="320"/>
      <c r="C1538" s="320"/>
      <c r="D1538" s="320"/>
      <c r="E1538" s="320"/>
      <c r="F1538" s="320"/>
      <c r="G1538" s="320"/>
      <c r="H1538" s="320"/>
      <c r="I1538" s="320"/>
      <c r="J1538" s="320"/>
      <c r="K1538" s="320"/>
      <c r="L1538" s="320"/>
      <c r="M1538" s="320"/>
      <c r="N1538" s="320"/>
      <c r="O1538" s="321"/>
      <c r="P1538" s="321"/>
      <c r="Y1538" s="326"/>
      <c r="Z1538" s="326"/>
      <c r="AA1538" s="326"/>
      <c r="AB1538" s="326"/>
      <c r="AC1538" s="326"/>
      <c r="AG1538" s="326"/>
      <c r="AH1538" s="326"/>
      <c r="AI1538" s="326"/>
      <c r="AL1538" s="326"/>
      <c r="AM1538" s="326"/>
      <c r="AN1538" s="326"/>
    </row>
    <row r="1539" spans="1:40" x14ac:dyDescent="0.15">
      <c r="A1539" s="327"/>
      <c r="B1539" s="320"/>
      <c r="C1539" s="320"/>
      <c r="D1539" s="320"/>
      <c r="E1539" s="320"/>
      <c r="F1539" s="320"/>
      <c r="G1539" s="320"/>
      <c r="H1539" s="320"/>
      <c r="I1539" s="320"/>
      <c r="J1539" s="320"/>
      <c r="K1539" s="320"/>
      <c r="L1539" s="320"/>
      <c r="M1539" s="320"/>
      <c r="N1539" s="320"/>
      <c r="O1539" s="321"/>
      <c r="P1539" s="321"/>
      <c r="Y1539" s="326"/>
      <c r="Z1539" s="326"/>
      <c r="AA1539" s="326"/>
      <c r="AB1539" s="326"/>
      <c r="AC1539" s="326"/>
      <c r="AG1539" s="326"/>
      <c r="AH1539" s="326"/>
      <c r="AI1539" s="326"/>
      <c r="AL1539" s="326"/>
      <c r="AM1539" s="326"/>
      <c r="AN1539" s="326"/>
    </row>
    <row r="1540" spans="1:40" x14ac:dyDescent="0.15">
      <c r="A1540" s="327"/>
      <c r="B1540" s="320"/>
      <c r="C1540" s="320"/>
      <c r="D1540" s="320"/>
      <c r="E1540" s="320"/>
      <c r="F1540" s="320"/>
      <c r="G1540" s="320"/>
      <c r="H1540" s="320"/>
      <c r="I1540" s="320"/>
      <c r="J1540" s="320"/>
      <c r="K1540" s="320"/>
      <c r="L1540" s="320"/>
      <c r="M1540" s="320"/>
      <c r="N1540" s="320"/>
      <c r="O1540" s="321"/>
      <c r="P1540" s="321"/>
      <c r="Y1540" s="326"/>
      <c r="Z1540" s="326"/>
      <c r="AA1540" s="326"/>
      <c r="AB1540" s="326"/>
      <c r="AC1540" s="326"/>
      <c r="AG1540" s="326"/>
      <c r="AH1540" s="326"/>
      <c r="AI1540" s="326"/>
      <c r="AL1540" s="326"/>
      <c r="AM1540" s="326"/>
      <c r="AN1540" s="326"/>
    </row>
    <row r="1541" spans="1:40" x14ac:dyDescent="0.15">
      <c r="A1541" s="327"/>
      <c r="B1541" s="320"/>
      <c r="C1541" s="320"/>
      <c r="D1541" s="320"/>
      <c r="E1541" s="320"/>
      <c r="F1541" s="320"/>
      <c r="G1541" s="320"/>
      <c r="H1541" s="320"/>
      <c r="I1541" s="320"/>
      <c r="J1541" s="320"/>
      <c r="K1541" s="320"/>
      <c r="L1541" s="320"/>
      <c r="M1541" s="320"/>
      <c r="N1541" s="320"/>
      <c r="O1541" s="321"/>
      <c r="P1541" s="321"/>
      <c r="Y1541" s="326"/>
      <c r="Z1541" s="326"/>
      <c r="AA1541" s="326"/>
      <c r="AB1541" s="326"/>
      <c r="AC1541" s="326"/>
      <c r="AG1541" s="326"/>
      <c r="AH1541" s="326"/>
      <c r="AI1541" s="326"/>
      <c r="AL1541" s="326"/>
      <c r="AM1541" s="326"/>
      <c r="AN1541" s="326"/>
    </row>
    <row r="1542" spans="1:40" x14ac:dyDescent="0.15">
      <c r="A1542" s="327"/>
      <c r="B1542" s="320"/>
      <c r="C1542" s="320"/>
      <c r="D1542" s="320"/>
      <c r="E1542" s="320"/>
      <c r="F1542" s="320"/>
      <c r="G1542" s="320"/>
      <c r="H1542" s="320"/>
      <c r="I1542" s="320"/>
      <c r="J1542" s="320"/>
      <c r="K1542" s="320"/>
      <c r="L1542" s="320"/>
      <c r="M1542" s="320"/>
      <c r="N1542" s="320"/>
      <c r="O1542" s="321"/>
      <c r="P1542" s="321"/>
      <c r="Y1542" s="326"/>
      <c r="Z1542" s="326"/>
      <c r="AA1542" s="326"/>
      <c r="AB1542" s="326"/>
      <c r="AC1542" s="326"/>
      <c r="AG1542" s="326"/>
      <c r="AH1542" s="326"/>
      <c r="AI1542" s="326"/>
      <c r="AL1542" s="326"/>
      <c r="AM1542" s="326"/>
      <c r="AN1542" s="326"/>
    </row>
    <row r="1543" spans="1:40" x14ac:dyDescent="0.15">
      <c r="A1543" s="327"/>
      <c r="B1543" s="320"/>
      <c r="C1543" s="320"/>
      <c r="D1543" s="320"/>
      <c r="E1543" s="320"/>
      <c r="F1543" s="320"/>
      <c r="G1543" s="320"/>
      <c r="H1543" s="320"/>
      <c r="I1543" s="320"/>
      <c r="J1543" s="320"/>
      <c r="K1543" s="320"/>
      <c r="L1543" s="320"/>
      <c r="M1543" s="320"/>
      <c r="N1543" s="320"/>
      <c r="O1543" s="321"/>
      <c r="P1543" s="321"/>
      <c r="Y1543" s="326"/>
      <c r="Z1543" s="326"/>
      <c r="AA1543" s="326"/>
      <c r="AB1543" s="326"/>
      <c r="AC1543" s="326"/>
      <c r="AG1543" s="326"/>
      <c r="AH1543" s="326"/>
      <c r="AI1543" s="326"/>
      <c r="AL1543" s="326"/>
      <c r="AM1543" s="326"/>
      <c r="AN1543" s="326"/>
    </row>
    <row r="1544" spans="1:40" x14ac:dyDescent="0.15">
      <c r="A1544" s="327"/>
      <c r="B1544" s="320"/>
      <c r="C1544" s="320"/>
      <c r="D1544" s="320"/>
      <c r="E1544" s="320"/>
      <c r="F1544" s="320"/>
      <c r="G1544" s="320"/>
      <c r="H1544" s="320"/>
      <c r="I1544" s="320"/>
      <c r="J1544" s="320"/>
      <c r="K1544" s="320"/>
      <c r="L1544" s="320"/>
      <c r="M1544" s="320"/>
      <c r="N1544" s="320"/>
      <c r="O1544" s="321"/>
      <c r="P1544" s="321"/>
      <c r="Y1544" s="326"/>
      <c r="Z1544" s="326"/>
      <c r="AA1544" s="326"/>
      <c r="AB1544" s="326"/>
      <c r="AC1544" s="326"/>
      <c r="AG1544" s="326"/>
      <c r="AH1544" s="326"/>
      <c r="AI1544" s="326"/>
      <c r="AL1544" s="326"/>
      <c r="AM1544" s="326"/>
      <c r="AN1544" s="326"/>
    </row>
    <row r="1545" spans="1:40" x14ac:dyDescent="0.15">
      <c r="A1545" s="327"/>
      <c r="B1545" s="320"/>
      <c r="C1545" s="320"/>
      <c r="D1545" s="320"/>
      <c r="E1545" s="320"/>
      <c r="F1545" s="320"/>
      <c r="G1545" s="320"/>
      <c r="H1545" s="320"/>
      <c r="I1545" s="320"/>
      <c r="J1545" s="320"/>
      <c r="K1545" s="320"/>
      <c r="L1545" s="320"/>
      <c r="M1545" s="320"/>
      <c r="N1545" s="320"/>
      <c r="O1545" s="321"/>
      <c r="P1545" s="321"/>
      <c r="Y1545" s="326"/>
      <c r="Z1545" s="326"/>
      <c r="AA1545" s="326"/>
      <c r="AB1545" s="326"/>
      <c r="AC1545" s="326"/>
      <c r="AG1545" s="326"/>
      <c r="AH1545" s="326"/>
      <c r="AI1545" s="326"/>
      <c r="AL1545" s="326"/>
      <c r="AM1545" s="326"/>
      <c r="AN1545" s="326"/>
    </row>
    <row r="1546" spans="1:40" x14ac:dyDescent="0.15">
      <c r="A1546" s="327"/>
      <c r="B1546" s="320"/>
      <c r="C1546" s="320"/>
      <c r="D1546" s="320"/>
      <c r="E1546" s="320"/>
      <c r="F1546" s="320"/>
      <c r="G1546" s="320"/>
      <c r="H1546" s="320"/>
      <c r="I1546" s="320"/>
      <c r="J1546" s="320"/>
      <c r="K1546" s="320"/>
      <c r="L1546" s="320"/>
      <c r="M1546" s="320"/>
      <c r="N1546" s="320"/>
      <c r="O1546" s="321"/>
      <c r="P1546" s="321"/>
      <c r="Y1546" s="326"/>
      <c r="Z1546" s="326"/>
      <c r="AA1546" s="326"/>
      <c r="AB1546" s="326"/>
      <c r="AC1546" s="326"/>
      <c r="AG1546" s="326"/>
      <c r="AH1546" s="326"/>
      <c r="AI1546" s="326"/>
      <c r="AL1546" s="326"/>
      <c r="AM1546" s="326"/>
      <c r="AN1546" s="326"/>
    </row>
    <row r="1547" spans="1:40" x14ac:dyDescent="0.15">
      <c r="A1547" s="327"/>
      <c r="B1547" s="320"/>
      <c r="C1547" s="320"/>
      <c r="D1547" s="320"/>
      <c r="E1547" s="320"/>
      <c r="F1547" s="320"/>
      <c r="G1547" s="320"/>
      <c r="H1547" s="320"/>
      <c r="I1547" s="320"/>
      <c r="J1547" s="320"/>
      <c r="K1547" s="320"/>
      <c r="L1547" s="320"/>
      <c r="M1547" s="320"/>
      <c r="N1547" s="320"/>
      <c r="O1547" s="321"/>
      <c r="P1547" s="321"/>
      <c r="Y1547" s="326"/>
      <c r="Z1547" s="326"/>
      <c r="AA1547" s="326"/>
      <c r="AB1547" s="326"/>
      <c r="AC1547" s="326"/>
      <c r="AG1547" s="326"/>
      <c r="AH1547" s="326"/>
      <c r="AI1547" s="326"/>
      <c r="AL1547" s="326"/>
      <c r="AM1547" s="326"/>
      <c r="AN1547" s="326"/>
    </row>
    <row r="1548" spans="1:40" x14ac:dyDescent="0.15">
      <c r="A1548" s="327"/>
      <c r="B1548" s="320"/>
      <c r="C1548" s="320"/>
      <c r="D1548" s="320"/>
      <c r="E1548" s="320"/>
      <c r="F1548" s="320"/>
      <c r="G1548" s="320"/>
      <c r="H1548" s="320"/>
      <c r="I1548" s="320"/>
      <c r="J1548" s="320"/>
      <c r="K1548" s="320"/>
      <c r="L1548" s="320"/>
      <c r="M1548" s="320"/>
      <c r="N1548" s="320"/>
      <c r="O1548" s="321"/>
      <c r="P1548" s="321"/>
      <c r="Y1548" s="326"/>
      <c r="Z1548" s="326"/>
      <c r="AA1548" s="326"/>
      <c r="AB1548" s="326"/>
      <c r="AC1548" s="326"/>
      <c r="AG1548" s="326"/>
      <c r="AH1548" s="326"/>
      <c r="AI1548" s="326"/>
      <c r="AL1548" s="326"/>
      <c r="AM1548" s="326"/>
      <c r="AN1548" s="326"/>
    </row>
    <row r="1549" spans="1:40" x14ac:dyDescent="0.15">
      <c r="A1549" s="327"/>
      <c r="B1549" s="320"/>
      <c r="C1549" s="320"/>
      <c r="D1549" s="320"/>
      <c r="E1549" s="320"/>
      <c r="F1549" s="320"/>
      <c r="G1549" s="320"/>
      <c r="H1549" s="320"/>
      <c r="I1549" s="320"/>
      <c r="J1549" s="320"/>
      <c r="K1549" s="320"/>
      <c r="L1549" s="320"/>
      <c r="M1549" s="320"/>
      <c r="N1549" s="320"/>
      <c r="O1549" s="321"/>
      <c r="P1549" s="321"/>
      <c r="Y1549" s="326"/>
      <c r="Z1549" s="326"/>
      <c r="AA1549" s="326"/>
      <c r="AB1549" s="326"/>
      <c r="AC1549" s="326"/>
      <c r="AG1549" s="326"/>
      <c r="AH1549" s="326"/>
      <c r="AI1549" s="326"/>
      <c r="AL1549" s="326"/>
      <c r="AM1549" s="326"/>
      <c r="AN1549" s="326"/>
    </row>
    <row r="1550" spans="1:40" x14ac:dyDescent="0.15">
      <c r="A1550" s="327"/>
      <c r="B1550" s="320"/>
      <c r="C1550" s="320"/>
      <c r="D1550" s="320"/>
      <c r="E1550" s="320"/>
      <c r="F1550" s="320"/>
      <c r="G1550" s="320"/>
      <c r="H1550" s="320"/>
      <c r="I1550" s="320"/>
      <c r="J1550" s="320"/>
      <c r="K1550" s="320"/>
      <c r="L1550" s="320"/>
      <c r="M1550" s="320"/>
      <c r="N1550" s="320"/>
      <c r="O1550" s="321"/>
      <c r="P1550" s="321"/>
      <c r="Y1550" s="326"/>
      <c r="Z1550" s="326"/>
      <c r="AA1550" s="326"/>
      <c r="AB1550" s="326"/>
      <c r="AC1550" s="326"/>
      <c r="AG1550" s="326"/>
      <c r="AH1550" s="326"/>
      <c r="AI1550" s="326"/>
      <c r="AL1550" s="326"/>
      <c r="AM1550" s="326"/>
      <c r="AN1550" s="326"/>
    </row>
    <row r="1551" spans="1:40" x14ac:dyDescent="0.15">
      <c r="A1551" s="327"/>
      <c r="B1551" s="320"/>
      <c r="C1551" s="320"/>
      <c r="D1551" s="320"/>
      <c r="E1551" s="320"/>
      <c r="F1551" s="320"/>
      <c r="G1551" s="320"/>
      <c r="H1551" s="320"/>
      <c r="I1551" s="320"/>
      <c r="J1551" s="320"/>
      <c r="K1551" s="320"/>
      <c r="L1551" s="320"/>
      <c r="M1551" s="320"/>
      <c r="N1551" s="320"/>
      <c r="O1551" s="321"/>
      <c r="P1551" s="321"/>
      <c r="Y1551" s="326"/>
      <c r="Z1551" s="326"/>
      <c r="AA1551" s="326"/>
      <c r="AB1551" s="326"/>
      <c r="AC1551" s="326"/>
      <c r="AG1551" s="326"/>
      <c r="AH1551" s="326"/>
      <c r="AI1551" s="326"/>
      <c r="AL1551" s="326"/>
      <c r="AM1551" s="326"/>
      <c r="AN1551" s="326"/>
    </row>
    <row r="1552" spans="1:40" x14ac:dyDescent="0.15">
      <c r="A1552" s="327"/>
      <c r="B1552" s="320"/>
      <c r="C1552" s="320"/>
      <c r="D1552" s="320"/>
      <c r="E1552" s="320"/>
      <c r="F1552" s="320"/>
      <c r="G1552" s="320"/>
      <c r="H1552" s="320"/>
      <c r="I1552" s="320"/>
      <c r="J1552" s="320"/>
      <c r="K1552" s="320"/>
      <c r="L1552" s="320"/>
      <c r="M1552" s="320"/>
      <c r="N1552" s="320"/>
      <c r="O1552" s="321"/>
      <c r="P1552" s="321"/>
      <c r="Y1552" s="326"/>
      <c r="Z1552" s="326"/>
      <c r="AA1552" s="326"/>
      <c r="AB1552" s="326"/>
      <c r="AC1552" s="326"/>
      <c r="AG1552" s="326"/>
      <c r="AH1552" s="326"/>
      <c r="AI1552" s="326"/>
      <c r="AL1552" s="326"/>
      <c r="AM1552" s="326"/>
      <c r="AN1552" s="326"/>
    </row>
    <row r="1553" spans="1:40" x14ac:dyDescent="0.15">
      <c r="A1553" s="327"/>
      <c r="B1553" s="320"/>
      <c r="C1553" s="320"/>
      <c r="D1553" s="320"/>
      <c r="E1553" s="320"/>
      <c r="F1553" s="320"/>
      <c r="G1553" s="320"/>
      <c r="H1553" s="320"/>
      <c r="I1553" s="320"/>
      <c r="J1553" s="320"/>
      <c r="K1553" s="320"/>
      <c r="L1553" s="320"/>
      <c r="M1553" s="320"/>
      <c r="N1553" s="320"/>
      <c r="O1553" s="321"/>
      <c r="P1553" s="321"/>
      <c r="Y1553" s="326"/>
      <c r="Z1553" s="326"/>
      <c r="AA1553" s="326"/>
      <c r="AB1553" s="326"/>
      <c r="AC1553" s="326"/>
      <c r="AG1553" s="326"/>
      <c r="AH1553" s="326"/>
      <c r="AI1553" s="326"/>
      <c r="AL1553" s="326"/>
      <c r="AM1553" s="326"/>
      <c r="AN1553" s="326"/>
    </row>
    <row r="1554" spans="1:40" x14ac:dyDescent="0.15">
      <c r="A1554" s="327"/>
      <c r="B1554" s="320"/>
      <c r="C1554" s="320"/>
      <c r="D1554" s="320"/>
      <c r="E1554" s="320"/>
      <c r="F1554" s="320"/>
      <c r="G1554" s="320"/>
      <c r="H1554" s="320"/>
      <c r="I1554" s="320"/>
      <c r="J1554" s="320"/>
      <c r="K1554" s="320"/>
      <c r="L1554" s="320"/>
      <c r="M1554" s="320"/>
      <c r="N1554" s="320"/>
      <c r="O1554" s="321"/>
      <c r="P1554" s="321"/>
      <c r="Y1554" s="326"/>
      <c r="Z1554" s="326"/>
      <c r="AA1554" s="326"/>
      <c r="AB1554" s="326"/>
      <c r="AC1554" s="326"/>
      <c r="AG1554" s="326"/>
      <c r="AH1554" s="326"/>
      <c r="AI1554" s="326"/>
      <c r="AL1554" s="326"/>
      <c r="AM1554" s="326"/>
      <c r="AN1554" s="326"/>
    </row>
    <row r="1555" spans="1:40" x14ac:dyDescent="0.15">
      <c r="A1555" s="327"/>
      <c r="B1555" s="320"/>
      <c r="C1555" s="320"/>
      <c r="D1555" s="320"/>
      <c r="E1555" s="320"/>
      <c r="F1555" s="320"/>
      <c r="G1555" s="320"/>
      <c r="H1555" s="320"/>
      <c r="I1555" s="320"/>
      <c r="J1555" s="320"/>
      <c r="K1555" s="320"/>
      <c r="L1555" s="320"/>
      <c r="M1555" s="320"/>
      <c r="N1555" s="320"/>
      <c r="O1555" s="321"/>
      <c r="P1555" s="321"/>
      <c r="Y1555" s="326"/>
      <c r="Z1555" s="326"/>
      <c r="AA1555" s="326"/>
      <c r="AB1555" s="326"/>
      <c r="AC1555" s="326"/>
      <c r="AG1555" s="326"/>
      <c r="AH1555" s="326"/>
      <c r="AI1555" s="326"/>
      <c r="AL1555" s="326"/>
      <c r="AM1555" s="326"/>
      <c r="AN1555" s="326"/>
    </row>
    <row r="1556" spans="1:40" x14ac:dyDescent="0.15">
      <c r="A1556" s="327"/>
      <c r="B1556" s="320"/>
      <c r="C1556" s="320"/>
      <c r="D1556" s="320"/>
      <c r="E1556" s="320"/>
      <c r="F1556" s="320"/>
      <c r="G1556" s="320"/>
      <c r="H1556" s="320"/>
      <c r="I1556" s="320"/>
      <c r="J1556" s="320"/>
      <c r="K1556" s="320"/>
      <c r="L1556" s="320"/>
      <c r="M1556" s="320"/>
      <c r="N1556" s="320"/>
      <c r="O1556" s="321"/>
      <c r="P1556" s="321"/>
      <c r="Y1556" s="326"/>
      <c r="Z1556" s="326"/>
      <c r="AA1556" s="326"/>
      <c r="AB1556" s="326"/>
      <c r="AC1556" s="326"/>
      <c r="AG1556" s="326"/>
      <c r="AH1556" s="326"/>
      <c r="AI1556" s="326"/>
      <c r="AL1556" s="326"/>
      <c r="AM1556" s="326"/>
      <c r="AN1556" s="326"/>
    </row>
    <row r="1557" spans="1:40" x14ac:dyDescent="0.15">
      <c r="A1557" s="327"/>
      <c r="B1557" s="320"/>
      <c r="C1557" s="320"/>
      <c r="D1557" s="320"/>
      <c r="E1557" s="320"/>
      <c r="F1557" s="320"/>
      <c r="G1557" s="320"/>
      <c r="H1557" s="320"/>
      <c r="I1557" s="320"/>
      <c r="J1557" s="320"/>
      <c r="K1557" s="320"/>
      <c r="L1557" s="320"/>
      <c r="M1557" s="320"/>
      <c r="N1557" s="320"/>
      <c r="O1557" s="321"/>
      <c r="P1557" s="321"/>
      <c r="Y1557" s="326"/>
      <c r="Z1557" s="326"/>
      <c r="AA1557" s="326"/>
      <c r="AB1557" s="326"/>
      <c r="AC1557" s="326"/>
      <c r="AG1557" s="326"/>
      <c r="AH1557" s="326"/>
      <c r="AI1557" s="326"/>
      <c r="AL1557" s="326"/>
      <c r="AM1557" s="326"/>
      <c r="AN1557" s="326"/>
    </row>
    <row r="1558" spans="1:40" x14ac:dyDescent="0.15">
      <c r="A1558" s="327"/>
      <c r="B1558" s="320"/>
      <c r="C1558" s="320"/>
      <c r="D1558" s="320"/>
      <c r="E1558" s="320"/>
      <c r="F1558" s="320"/>
      <c r="G1558" s="320"/>
      <c r="H1558" s="320"/>
      <c r="I1558" s="320"/>
      <c r="J1558" s="320"/>
      <c r="K1558" s="320"/>
      <c r="L1558" s="320"/>
      <c r="M1558" s="320"/>
      <c r="N1558" s="320"/>
      <c r="O1558" s="321"/>
      <c r="P1558" s="321"/>
      <c r="Y1558" s="326"/>
      <c r="Z1558" s="326"/>
      <c r="AA1558" s="326"/>
      <c r="AB1558" s="326"/>
      <c r="AC1558" s="326"/>
      <c r="AG1558" s="326"/>
      <c r="AH1558" s="326"/>
      <c r="AI1558" s="326"/>
      <c r="AL1558" s="326"/>
      <c r="AM1558" s="326"/>
      <c r="AN1558" s="326"/>
    </row>
    <row r="1559" spans="1:40" x14ac:dyDescent="0.15">
      <c r="A1559" s="327"/>
      <c r="B1559" s="320"/>
      <c r="C1559" s="320"/>
      <c r="D1559" s="320"/>
      <c r="E1559" s="320"/>
      <c r="F1559" s="320"/>
      <c r="G1559" s="320"/>
      <c r="H1559" s="320"/>
      <c r="I1559" s="320"/>
      <c r="J1559" s="320"/>
      <c r="K1559" s="320"/>
      <c r="L1559" s="320"/>
      <c r="M1559" s="320"/>
      <c r="N1559" s="320"/>
      <c r="O1559" s="321"/>
      <c r="P1559" s="321"/>
      <c r="Y1559" s="326"/>
      <c r="Z1559" s="326"/>
      <c r="AA1559" s="326"/>
      <c r="AB1559" s="326"/>
      <c r="AC1559" s="326"/>
      <c r="AG1559" s="326"/>
      <c r="AH1559" s="326"/>
      <c r="AI1559" s="326"/>
      <c r="AL1559" s="326"/>
      <c r="AM1559" s="326"/>
      <c r="AN1559" s="326"/>
    </row>
    <row r="1560" spans="1:40" x14ac:dyDescent="0.15">
      <c r="A1560" s="327"/>
      <c r="B1560" s="320"/>
      <c r="C1560" s="320"/>
      <c r="D1560" s="320"/>
      <c r="E1560" s="320"/>
      <c r="F1560" s="320"/>
      <c r="G1560" s="320"/>
      <c r="H1560" s="320"/>
      <c r="I1560" s="320"/>
      <c r="J1560" s="320"/>
      <c r="K1560" s="320"/>
      <c r="L1560" s="320"/>
      <c r="M1560" s="320"/>
      <c r="N1560" s="320"/>
      <c r="O1560" s="321"/>
      <c r="P1560" s="321"/>
      <c r="Y1560" s="326"/>
      <c r="Z1560" s="326"/>
      <c r="AA1560" s="326"/>
      <c r="AB1560" s="326"/>
      <c r="AC1560" s="326"/>
      <c r="AG1560" s="326"/>
      <c r="AH1560" s="326"/>
      <c r="AI1560" s="326"/>
      <c r="AL1560" s="326"/>
      <c r="AM1560" s="326"/>
      <c r="AN1560" s="326"/>
    </row>
    <row r="1561" spans="1:40" x14ac:dyDescent="0.15">
      <c r="A1561" s="327"/>
      <c r="B1561" s="320"/>
      <c r="C1561" s="320"/>
      <c r="D1561" s="320"/>
      <c r="E1561" s="320"/>
      <c r="F1561" s="320"/>
      <c r="G1561" s="320"/>
      <c r="H1561" s="320"/>
      <c r="I1561" s="320"/>
      <c r="J1561" s="320"/>
      <c r="K1561" s="320"/>
      <c r="L1561" s="320"/>
      <c r="M1561" s="320"/>
      <c r="N1561" s="320"/>
      <c r="O1561" s="321"/>
      <c r="P1561" s="321"/>
      <c r="Y1561" s="326"/>
      <c r="Z1561" s="326"/>
      <c r="AA1561" s="326"/>
      <c r="AB1561" s="326"/>
      <c r="AC1561" s="326"/>
      <c r="AG1561" s="326"/>
      <c r="AH1561" s="326"/>
      <c r="AI1561" s="326"/>
      <c r="AL1561" s="326"/>
      <c r="AM1561" s="326"/>
      <c r="AN1561" s="326"/>
    </row>
    <row r="1562" spans="1:40" x14ac:dyDescent="0.15">
      <c r="A1562" s="327"/>
      <c r="B1562" s="320"/>
      <c r="C1562" s="320"/>
      <c r="D1562" s="320"/>
      <c r="E1562" s="320"/>
      <c r="F1562" s="320"/>
      <c r="G1562" s="320"/>
      <c r="H1562" s="320"/>
      <c r="I1562" s="320"/>
      <c r="J1562" s="320"/>
      <c r="K1562" s="320"/>
      <c r="L1562" s="320"/>
      <c r="M1562" s="320"/>
      <c r="N1562" s="320"/>
      <c r="O1562" s="321"/>
      <c r="P1562" s="321"/>
      <c r="Y1562" s="326"/>
      <c r="Z1562" s="326"/>
      <c r="AA1562" s="326"/>
      <c r="AB1562" s="326"/>
      <c r="AC1562" s="326"/>
      <c r="AG1562" s="326"/>
      <c r="AH1562" s="326"/>
      <c r="AI1562" s="326"/>
      <c r="AL1562" s="326"/>
      <c r="AM1562" s="326"/>
      <c r="AN1562" s="326"/>
    </row>
    <row r="1563" spans="1:40" x14ac:dyDescent="0.15">
      <c r="A1563" s="327"/>
      <c r="B1563" s="320"/>
      <c r="C1563" s="320"/>
      <c r="D1563" s="320"/>
      <c r="E1563" s="320"/>
      <c r="F1563" s="320"/>
      <c r="G1563" s="320"/>
      <c r="H1563" s="320"/>
      <c r="I1563" s="320"/>
      <c r="J1563" s="320"/>
      <c r="K1563" s="320"/>
      <c r="L1563" s="320"/>
      <c r="M1563" s="320"/>
      <c r="N1563" s="320"/>
      <c r="O1563" s="321"/>
      <c r="P1563" s="321"/>
      <c r="Y1563" s="326"/>
      <c r="Z1563" s="326"/>
      <c r="AA1563" s="326"/>
      <c r="AB1563" s="326"/>
      <c r="AC1563" s="326"/>
      <c r="AG1563" s="326"/>
      <c r="AH1563" s="326"/>
      <c r="AI1563" s="326"/>
      <c r="AL1563" s="326"/>
      <c r="AM1563" s="326"/>
      <c r="AN1563" s="326"/>
    </row>
    <row r="1564" spans="1:40" x14ac:dyDescent="0.15">
      <c r="A1564" s="327"/>
      <c r="B1564" s="320"/>
      <c r="C1564" s="320"/>
      <c r="D1564" s="320"/>
      <c r="E1564" s="320"/>
      <c r="F1564" s="320"/>
      <c r="G1564" s="320"/>
      <c r="H1564" s="320"/>
      <c r="I1564" s="320"/>
      <c r="J1564" s="320"/>
      <c r="K1564" s="320"/>
      <c r="L1564" s="320"/>
      <c r="M1564" s="320"/>
      <c r="N1564" s="320"/>
      <c r="O1564" s="321"/>
      <c r="P1564" s="321"/>
      <c r="Y1564" s="326"/>
      <c r="Z1564" s="326"/>
      <c r="AA1564" s="326"/>
      <c r="AB1564" s="326"/>
      <c r="AC1564" s="326"/>
      <c r="AG1564" s="326"/>
      <c r="AH1564" s="326"/>
      <c r="AI1564" s="326"/>
      <c r="AL1564" s="326"/>
      <c r="AM1564" s="326"/>
      <c r="AN1564" s="326"/>
    </row>
    <row r="1565" spans="1:40" x14ac:dyDescent="0.15">
      <c r="A1565" s="327"/>
      <c r="B1565" s="320"/>
      <c r="C1565" s="320"/>
      <c r="D1565" s="320"/>
      <c r="E1565" s="320"/>
      <c r="F1565" s="320"/>
      <c r="G1565" s="320"/>
      <c r="H1565" s="320"/>
      <c r="I1565" s="320"/>
      <c r="J1565" s="320"/>
      <c r="K1565" s="320"/>
      <c r="L1565" s="320"/>
      <c r="M1565" s="320"/>
      <c r="N1565" s="320"/>
      <c r="O1565" s="321"/>
      <c r="P1565" s="321"/>
      <c r="Y1565" s="326"/>
      <c r="Z1565" s="326"/>
      <c r="AA1565" s="326"/>
      <c r="AB1565" s="326"/>
      <c r="AC1565" s="326"/>
      <c r="AG1565" s="326"/>
      <c r="AH1565" s="326"/>
      <c r="AI1565" s="326"/>
      <c r="AL1565" s="326"/>
      <c r="AM1565" s="326"/>
      <c r="AN1565" s="326"/>
    </row>
    <row r="1566" spans="1:40" x14ac:dyDescent="0.15">
      <c r="A1566" s="327"/>
      <c r="B1566" s="320"/>
      <c r="C1566" s="320"/>
      <c r="D1566" s="320"/>
      <c r="E1566" s="320"/>
      <c r="F1566" s="320"/>
      <c r="G1566" s="320"/>
      <c r="H1566" s="320"/>
      <c r="I1566" s="320"/>
      <c r="J1566" s="320"/>
      <c r="K1566" s="320"/>
      <c r="L1566" s="320"/>
      <c r="M1566" s="320"/>
      <c r="N1566" s="320"/>
      <c r="O1566" s="321"/>
      <c r="P1566" s="321"/>
      <c r="Y1566" s="326"/>
      <c r="Z1566" s="326"/>
      <c r="AA1566" s="326"/>
      <c r="AB1566" s="326"/>
      <c r="AC1566" s="326"/>
      <c r="AG1566" s="326"/>
      <c r="AH1566" s="326"/>
      <c r="AI1566" s="326"/>
      <c r="AL1566" s="326"/>
      <c r="AM1566" s="326"/>
      <c r="AN1566" s="326"/>
    </row>
    <row r="1567" spans="1:40" x14ac:dyDescent="0.15">
      <c r="A1567" s="327"/>
      <c r="B1567" s="320"/>
      <c r="C1567" s="320"/>
      <c r="D1567" s="320"/>
      <c r="E1567" s="320"/>
      <c r="F1567" s="320"/>
      <c r="G1567" s="320"/>
      <c r="H1567" s="320"/>
      <c r="I1567" s="320"/>
      <c r="J1567" s="320"/>
      <c r="K1567" s="320"/>
      <c r="L1567" s="320"/>
      <c r="M1567" s="320"/>
      <c r="N1567" s="320"/>
      <c r="O1567" s="321"/>
      <c r="P1567" s="321"/>
      <c r="Y1567" s="326"/>
      <c r="Z1567" s="326"/>
      <c r="AA1567" s="326"/>
      <c r="AB1567" s="326"/>
      <c r="AC1567" s="326"/>
      <c r="AG1567" s="326"/>
      <c r="AH1567" s="326"/>
      <c r="AI1567" s="326"/>
      <c r="AL1567" s="326"/>
      <c r="AM1567" s="326"/>
      <c r="AN1567" s="326"/>
    </row>
    <row r="1568" spans="1:40" x14ac:dyDescent="0.15">
      <c r="A1568" s="327"/>
      <c r="B1568" s="320"/>
      <c r="C1568" s="320"/>
      <c r="D1568" s="320"/>
      <c r="E1568" s="320"/>
      <c r="F1568" s="320"/>
      <c r="G1568" s="320"/>
      <c r="H1568" s="320"/>
      <c r="I1568" s="320"/>
      <c r="J1568" s="320"/>
      <c r="K1568" s="320"/>
      <c r="L1568" s="320"/>
      <c r="M1568" s="320"/>
      <c r="N1568" s="320"/>
      <c r="O1568" s="321"/>
      <c r="P1568" s="321"/>
      <c r="Y1568" s="326"/>
      <c r="Z1568" s="326"/>
      <c r="AA1568" s="326"/>
      <c r="AB1568" s="326"/>
      <c r="AC1568" s="326"/>
      <c r="AG1568" s="326"/>
      <c r="AH1568" s="326"/>
      <c r="AI1568" s="326"/>
      <c r="AL1568" s="326"/>
      <c r="AM1568" s="326"/>
      <c r="AN1568" s="326"/>
    </row>
    <row r="1569" spans="1:40" x14ac:dyDescent="0.15">
      <c r="A1569" s="327"/>
      <c r="B1569" s="320"/>
      <c r="C1569" s="320"/>
      <c r="D1569" s="320"/>
      <c r="E1569" s="320"/>
      <c r="F1569" s="320"/>
      <c r="G1569" s="320"/>
      <c r="H1569" s="320"/>
      <c r="I1569" s="320"/>
      <c r="J1569" s="320"/>
      <c r="K1569" s="320"/>
      <c r="L1569" s="320"/>
      <c r="M1569" s="320"/>
      <c r="N1569" s="320"/>
      <c r="O1569" s="321"/>
      <c r="P1569" s="321"/>
      <c r="Y1569" s="326"/>
      <c r="Z1569" s="326"/>
      <c r="AA1569" s="326"/>
      <c r="AB1569" s="326"/>
      <c r="AC1569" s="326"/>
      <c r="AG1569" s="326"/>
      <c r="AH1569" s="326"/>
      <c r="AI1569" s="326"/>
      <c r="AL1569" s="326"/>
      <c r="AM1569" s="326"/>
      <c r="AN1569" s="326"/>
    </row>
    <row r="1570" spans="1:40" x14ac:dyDescent="0.15">
      <c r="A1570" s="327"/>
      <c r="B1570" s="320"/>
      <c r="C1570" s="320"/>
      <c r="D1570" s="320"/>
      <c r="E1570" s="320"/>
      <c r="F1570" s="320"/>
      <c r="G1570" s="320"/>
      <c r="H1570" s="320"/>
      <c r="I1570" s="320"/>
      <c r="J1570" s="320"/>
      <c r="K1570" s="320"/>
      <c r="L1570" s="320"/>
      <c r="M1570" s="320"/>
      <c r="N1570" s="320"/>
      <c r="O1570" s="321"/>
      <c r="P1570" s="321"/>
      <c r="Y1570" s="326"/>
      <c r="Z1570" s="326"/>
      <c r="AA1570" s="326"/>
      <c r="AB1570" s="326"/>
      <c r="AC1570" s="326"/>
      <c r="AG1570" s="326"/>
      <c r="AH1570" s="326"/>
      <c r="AI1570" s="326"/>
      <c r="AL1570" s="326"/>
      <c r="AM1570" s="326"/>
      <c r="AN1570" s="326"/>
    </row>
    <row r="1571" spans="1:40" x14ac:dyDescent="0.15">
      <c r="A1571" s="327"/>
      <c r="B1571" s="320"/>
      <c r="C1571" s="320"/>
      <c r="D1571" s="320"/>
      <c r="E1571" s="320"/>
      <c r="F1571" s="320"/>
      <c r="G1571" s="320"/>
      <c r="H1571" s="320"/>
      <c r="I1571" s="320"/>
      <c r="J1571" s="320"/>
      <c r="K1571" s="320"/>
      <c r="L1571" s="320"/>
      <c r="M1571" s="320"/>
      <c r="N1571" s="320"/>
      <c r="O1571" s="321"/>
      <c r="P1571" s="321"/>
      <c r="Y1571" s="326"/>
      <c r="Z1571" s="326"/>
      <c r="AA1571" s="326"/>
      <c r="AB1571" s="326"/>
      <c r="AC1571" s="326"/>
      <c r="AG1571" s="326"/>
      <c r="AH1571" s="326"/>
      <c r="AI1571" s="326"/>
      <c r="AL1571" s="326"/>
      <c r="AM1571" s="326"/>
      <c r="AN1571" s="326"/>
    </row>
    <row r="1572" spans="1:40" x14ac:dyDescent="0.15">
      <c r="A1572" s="327"/>
      <c r="B1572" s="320"/>
      <c r="C1572" s="320"/>
      <c r="D1572" s="320"/>
      <c r="E1572" s="320"/>
      <c r="F1572" s="320"/>
      <c r="G1572" s="320"/>
      <c r="H1572" s="320"/>
      <c r="I1572" s="320"/>
      <c r="J1572" s="320"/>
      <c r="K1572" s="320"/>
      <c r="L1572" s="320"/>
      <c r="M1572" s="320"/>
      <c r="N1572" s="320"/>
      <c r="O1572" s="321"/>
      <c r="P1572" s="321"/>
      <c r="Y1572" s="326"/>
      <c r="Z1572" s="326"/>
      <c r="AA1572" s="326"/>
      <c r="AB1572" s="326"/>
      <c r="AC1572" s="326"/>
      <c r="AG1572" s="326"/>
      <c r="AH1572" s="326"/>
      <c r="AI1572" s="326"/>
      <c r="AL1572" s="326"/>
      <c r="AM1572" s="326"/>
      <c r="AN1572" s="326"/>
    </row>
    <row r="1573" spans="1:40" x14ac:dyDescent="0.15">
      <c r="A1573" s="327"/>
      <c r="B1573" s="320"/>
      <c r="C1573" s="320"/>
      <c r="D1573" s="320"/>
      <c r="E1573" s="320"/>
      <c r="F1573" s="320"/>
      <c r="G1573" s="320"/>
      <c r="H1573" s="320"/>
      <c r="I1573" s="320"/>
      <c r="J1573" s="320"/>
      <c r="K1573" s="320"/>
      <c r="L1573" s="320"/>
      <c r="M1573" s="320"/>
      <c r="N1573" s="320"/>
      <c r="O1573" s="321"/>
      <c r="P1573" s="321"/>
      <c r="Y1573" s="326"/>
      <c r="Z1573" s="326"/>
      <c r="AA1573" s="326"/>
      <c r="AB1573" s="326"/>
      <c r="AC1573" s="326"/>
      <c r="AG1573" s="326"/>
      <c r="AH1573" s="326"/>
      <c r="AI1573" s="326"/>
      <c r="AL1573" s="326"/>
      <c r="AM1573" s="326"/>
      <c r="AN1573" s="326"/>
    </row>
    <row r="1574" spans="1:40" x14ac:dyDescent="0.15">
      <c r="A1574" s="327"/>
      <c r="B1574" s="320"/>
      <c r="C1574" s="320"/>
      <c r="D1574" s="320"/>
      <c r="E1574" s="320"/>
      <c r="F1574" s="320"/>
      <c r="G1574" s="320"/>
      <c r="H1574" s="320"/>
      <c r="I1574" s="320"/>
      <c r="J1574" s="320"/>
      <c r="K1574" s="320"/>
      <c r="L1574" s="320"/>
      <c r="M1574" s="320"/>
      <c r="N1574" s="320"/>
      <c r="O1574" s="321"/>
      <c r="P1574" s="321"/>
      <c r="Y1574" s="326"/>
      <c r="Z1574" s="326"/>
      <c r="AA1574" s="326"/>
      <c r="AB1574" s="326"/>
      <c r="AC1574" s="326"/>
      <c r="AG1574" s="326"/>
      <c r="AH1574" s="326"/>
      <c r="AI1574" s="326"/>
      <c r="AL1574" s="326"/>
      <c r="AM1574" s="326"/>
      <c r="AN1574" s="326"/>
    </row>
    <row r="1575" spans="1:40" x14ac:dyDescent="0.15">
      <c r="A1575" s="327"/>
      <c r="B1575" s="320"/>
      <c r="C1575" s="320"/>
      <c r="D1575" s="320"/>
      <c r="E1575" s="320"/>
      <c r="F1575" s="320"/>
      <c r="G1575" s="320"/>
      <c r="H1575" s="320"/>
      <c r="I1575" s="320"/>
      <c r="J1575" s="320"/>
      <c r="K1575" s="320"/>
      <c r="L1575" s="320"/>
      <c r="M1575" s="320"/>
      <c r="N1575" s="320"/>
      <c r="O1575" s="321"/>
      <c r="P1575" s="321"/>
      <c r="Y1575" s="326"/>
      <c r="Z1575" s="326"/>
      <c r="AA1575" s="326"/>
      <c r="AB1575" s="326"/>
      <c r="AC1575" s="326"/>
      <c r="AG1575" s="326"/>
      <c r="AH1575" s="326"/>
      <c r="AI1575" s="326"/>
      <c r="AL1575" s="326"/>
      <c r="AM1575" s="326"/>
      <c r="AN1575" s="326"/>
    </row>
    <row r="1576" spans="1:40" x14ac:dyDescent="0.15">
      <c r="A1576" s="327"/>
      <c r="B1576" s="320"/>
      <c r="C1576" s="320"/>
      <c r="D1576" s="320"/>
      <c r="E1576" s="320"/>
      <c r="F1576" s="320"/>
      <c r="G1576" s="320"/>
      <c r="H1576" s="320"/>
      <c r="I1576" s="320"/>
      <c r="J1576" s="320"/>
      <c r="K1576" s="320"/>
      <c r="L1576" s="320"/>
      <c r="M1576" s="320"/>
      <c r="N1576" s="320"/>
      <c r="O1576" s="321"/>
      <c r="P1576" s="321"/>
      <c r="Y1576" s="326"/>
      <c r="Z1576" s="326"/>
      <c r="AA1576" s="326"/>
      <c r="AB1576" s="326"/>
      <c r="AC1576" s="326"/>
      <c r="AG1576" s="326"/>
      <c r="AH1576" s="326"/>
      <c r="AI1576" s="326"/>
      <c r="AL1576" s="326"/>
      <c r="AM1576" s="326"/>
      <c r="AN1576" s="326"/>
    </row>
    <row r="1577" spans="1:40" x14ac:dyDescent="0.15">
      <c r="A1577" s="327"/>
      <c r="B1577" s="320"/>
      <c r="C1577" s="320"/>
      <c r="D1577" s="320"/>
      <c r="E1577" s="320"/>
      <c r="F1577" s="320"/>
      <c r="G1577" s="320"/>
      <c r="H1577" s="320"/>
      <c r="I1577" s="320"/>
      <c r="J1577" s="320"/>
      <c r="K1577" s="320"/>
      <c r="L1577" s="320"/>
      <c r="M1577" s="320"/>
      <c r="N1577" s="320"/>
      <c r="O1577" s="321"/>
      <c r="P1577" s="321"/>
      <c r="Y1577" s="326"/>
      <c r="Z1577" s="326"/>
      <c r="AA1577" s="326"/>
      <c r="AB1577" s="326"/>
      <c r="AC1577" s="326"/>
      <c r="AG1577" s="326"/>
      <c r="AH1577" s="326"/>
      <c r="AI1577" s="326"/>
      <c r="AL1577" s="326"/>
      <c r="AM1577" s="326"/>
      <c r="AN1577" s="326"/>
    </row>
    <row r="1578" spans="1:40" x14ac:dyDescent="0.15">
      <c r="A1578" s="327"/>
      <c r="B1578" s="320"/>
      <c r="C1578" s="320"/>
      <c r="D1578" s="320"/>
      <c r="E1578" s="320"/>
      <c r="F1578" s="320"/>
      <c r="G1578" s="320"/>
      <c r="H1578" s="320"/>
      <c r="I1578" s="320"/>
      <c r="J1578" s="320"/>
      <c r="K1578" s="320"/>
      <c r="L1578" s="320"/>
      <c r="M1578" s="320"/>
      <c r="N1578" s="320"/>
      <c r="O1578" s="321"/>
      <c r="P1578" s="321"/>
      <c r="Y1578" s="326"/>
      <c r="Z1578" s="326"/>
      <c r="AA1578" s="326"/>
      <c r="AB1578" s="326"/>
      <c r="AC1578" s="326"/>
      <c r="AG1578" s="326"/>
      <c r="AH1578" s="326"/>
      <c r="AI1578" s="326"/>
      <c r="AL1578" s="326"/>
      <c r="AM1578" s="326"/>
      <c r="AN1578" s="326"/>
    </row>
    <row r="1579" spans="1:40" x14ac:dyDescent="0.15">
      <c r="A1579" s="327"/>
      <c r="B1579" s="320"/>
      <c r="C1579" s="320"/>
      <c r="D1579" s="320"/>
      <c r="E1579" s="320"/>
      <c r="F1579" s="320"/>
      <c r="G1579" s="320"/>
      <c r="H1579" s="320"/>
      <c r="I1579" s="320"/>
      <c r="J1579" s="320"/>
      <c r="K1579" s="320"/>
      <c r="L1579" s="320"/>
      <c r="M1579" s="320"/>
      <c r="N1579" s="320"/>
      <c r="O1579" s="321"/>
      <c r="P1579" s="321"/>
      <c r="Y1579" s="326"/>
      <c r="Z1579" s="326"/>
      <c r="AA1579" s="326"/>
      <c r="AB1579" s="326"/>
      <c r="AC1579" s="326"/>
      <c r="AG1579" s="326"/>
      <c r="AH1579" s="326"/>
      <c r="AI1579" s="326"/>
      <c r="AL1579" s="326"/>
      <c r="AM1579" s="326"/>
      <c r="AN1579" s="326"/>
    </row>
    <row r="1580" spans="1:40" x14ac:dyDescent="0.15">
      <c r="A1580" s="327"/>
      <c r="B1580" s="320"/>
      <c r="C1580" s="320"/>
      <c r="D1580" s="320"/>
      <c r="E1580" s="320"/>
      <c r="F1580" s="320"/>
      <c r="G1580" s="320"/>
      <c r="H1580" s="320"/>
      <c r="I1580" s="320"/>
      <c r="J1580" s="320"/>
      <c r="K1580" s="320"/>
      <c r="L1580" s="320"/>
      <c r="M1580" s="320"/>
      <c r="N1580" s="320"/>
      <c r="O1580" s="321"/>
      <c r="P1580" s="321"/>
      <c r="Y1580" s="326"/>
      <c r="Z1580" s="326"/>
      <c r="AA1580" s="326"/>
      <c r="AB1580" s="326"/>
      <c r="AC1580" s="326"/>
      <c r="AG1580" s="326"/>
      <c r="AH1580" s="326"/>
      <c r="AI1580" s="326"/>
      <c r="AL1580" s="326"/>
      <c r="AM1580" s="326"/>
      <c r="AN1580" s="326"/>
    </row>
    <row r="1581" spans="1:40" x14ac:dyDescent="0.15">
      <c r="A1581" s="327"/>
      <c r="B1581" s="320"/>
      <c r="C1581" s="320"/>
      <c r="D1581" s="320"/>
      <c r="E1581" s="320"/>
      <c r="F1581" s="320"/>
      <c r="G1581" s="320"/>
      <c r="H1581" s="320"/>
      <c r="I1581" s="320"/>
      <c r="J1581" s="320"/>
      <c r="K1581" s="320"/>
      <c r="L1581" s="320"/>
      <c r="M1581" s="320"/>
      <c r="N1581" s="320"/>
      <c r="O1581" s="321"/>
      <c r="P1581" s="321"/>
      <c r="Y1581" s="326"/>
      <c r="Z1581" s="326"/>
      <c r="AA1581" s="326"/>
      <c r="AB1581" s="326"/>
      <c r="AC1581" s="326"/>
      <c r="AG1581" s="326"/>
      <c r="AH1581" s="326"/>
      <c r="AI1581" s="326"/>
      <c r="AL1581" s="326"/>
      <c r="AM1581" s="326"/>
      <c r="AN1581" s="326"/>
    </row>
    <row r="1582" spans="1:40" x14ac:dyDescent="0.15">
      <c r="A1582" s="327"/>
      <c r="B1582" s="320"/>
      <c r="C1582" s="320"/>
      <c r="D1582" s="320"/>
      <c r="E1582" s="320"/>
      <c r="F1582" s="320"/>
      <c r="G1582" s="320"/>
      <c r="H1582" s="320"/>
      <c r="I1582" s="320"/>
      <c r="J1582" s="320"/>
      <c r="K1582" s="320"/>
      <c r="L1582" s="320"/>
      <c r="M1582" s="320"/>
      <c r="N1582" s="320"/>
      <c r="O1582" s="321"/>
      <c r="P1582" s="321"/>
      <c r="Y1582" s="326"/>
      <c r="Z1582" s="326"/>
      <c r="AA1582" s="326"/>
      <c r="AB1582" s="326"/>
      <c r="AC1582" s="326"/>
      <c r="AG1582" s="326"/>
      <c r="AH1582" s="326"/>
      <c r="AI1582" s="326"/>
      <c r="AL1582" s="326"/>
      <c r="AM1582" s="326"/>
      <c r="AN1582" s="326"/>
    </row>
    <row r="1583" spans="1:40" x14ac:dyDescent="0.15">
      <c r="A1583" s="327"/>
      <c r="B1583" s="320"/>
      <c r="C1583" s="320"/>
      <c r="D1583" s="320"/>
      <c r="E1583" s="320"/>
      <c r="F1583" s="320"/>
      <c r="G1583" s="320"/>
      <c r="H1583" s="320"/>
      <c r="I1583" s="320"/>
      <c r="J1583" s="320"/>
      <c r="K1583" s="320"/>
      <c r="L1583" s="320"/>
      <c r="M1583" s="320"/>
      <c r="N1583" s="320"/>
      <c r="O1583" s="321"/>
      <c r="P1583" s="321"/>
      <c r="Y1583" s="326"/>
      <c r="Z1583" s="326"/>
      <c r="AA1583" s="326"/>
      <c r="AB1583" s="326"/>
      <c r="AC1583" s="326"/>
      <c r="AG1583" s="326"/>
      <c r="AH1583" s="326"/>
      <c r="AI1583" s="326"/>
      <c r="AL1583" s="326"/>
      <c r="AM1583" s="326"/>
      <c r="AN1583" s="326"/>
    </row>
    <row r="1584" spans="1:40" x14ac:dyDescent="0.15">
      <c r="A1584" s="327"/>
      <c r="B1584" s="320"/>
      <c r="C1584" s="320"/>
      <c r="D1584" s="320"/>
      <c r="E1584" s="320"/>
      <c r="F1584" s="320"/>
      <c r="G1584" s="320"/>
      <c r="H1584" s="320"/>
      <c r="I1584" s="320"/>
      <c r="J1584" s="320"/>
      <c r="K1584" s="320"/>
      <c r="L1584" s="320"/>
      <c r="M1584" s="320"/>
      <c r="N1584" s="320"/>
      <c r="O1584" s="321"/>
      <c r="P1584" s="321"/>
      <c r="Y1584" s="326"/>
      <c r="Z1584" s="326"/>
      <c r="AA1584" s="326"/>
      <c r="AB1584" s="326"/>
      <c r="AC1584" s="326"/>
      <c r="AG1584" s="326"/>
      <c r="AH1584" s="326"/>
      <c r="AI1584" s="326"/>
      <c r="AL1584" s="326"/>
      <c r="AM1584" s="326"/>
      <c r="AN1584" s="326"/>
    </row>
    <row r="1585" spans="1:40" x14ac:dyDescent="0.15">
      <c r="A1585" s="327"/>
      <c r="B1585" s="320"/>
      <c r="C1585" s="320"/>
      <c r="D1585" s="320"/>
      <c r="E1585" s="320"/>
      <c r="F1585" s="320"/>
      <c r="G1585" s="320"/>
      <c r="H1585" s="320"/>
      <c r="I1585" s="320"/>
      <c r="J1585" s="320"/>
      <c r="K1585" s="320"/>
      <c r="L1585" s="320"/>
      <c r="M1585" s="320"/>
      <c r="N1585" s="320"/>
      <c r="O1585" s="321"/>
      <c r="P1585" s="321"/>
      <c r="Y1585" s="326"/>
      <c r="Z1585" s="326"/>
      <c r="AA1585" s="326"/>
      <c r="AB1585" s="326"/>
      <c r="AC1585" s="326"/>
      <c r="AG1585" s="326"/>
      <c r="AH1585" s="326"/>
      <c r="AI1585" s="326"/>
      <c r="AL1585" s="326"/>
      <c r="AM1585" s="326"/>
      <c r="AN1585" s="326"/>
    </row>
    <row r="1586" spans="1:40" x14ac:dyDescent="0.15">
      <c r="A1586" s="327"/>
      <c r="B1586" s="320"/>
      <c r="C1586" s="320"/>
      <c r="D1586" s="320"/>
      <c r="E1586" s="320"/>
      <c r="F1586" s="320"/>
      <c r="G1586" s="320"/>
      <c r="H1586" s="320"/>
      <c r="I1586" s="320"/>
      <c r="J1586" s="320"/>
      <c r="K1586" s="320"/>
      <c r="L1586" s="320"/>
      <c r="M1586" s="320"/>
      <c r="N1586" s="320"/>
      <c r="O1586" s="321"/>
      <c r="P1586" s="321"/>
      <c r="Y1586" s="326"/>
      <c r="Z1586" s="326"/>
      <c r="AA1586" s="326"/>
      <c r="AB1586" s="326"/>
      <c r="AC1586" s="326"/>
      <c r="AG1586" s="326"/>
      <c r="AH1586" s="326"/>
      <c r="AI1586" s="326"/>
      <c r="AL1586" s="326"/>
      <c r="AM1586" s="326"/>
      <c r="AN1586" s="326"/>
    </row>
    <row r="1587" spans="1:40" x14ac:dyDescent="0.15">
      <c r="A1587" s="327"/>
      <c r="B1587" s="320"/>
      <c r="C1587" s="320"/>
      <c r="D1587" s="320"/>
      <c r="E1587" s="320"/>
      <c r="F1587" s="320"/>
      <c r="G1587" s="320"/>
      <c r="H1587" s="320"/>
      <c r="I1587" s="320"/>
      <c r="J1587" s="320"/>
      <c r="K1587" s="320"/>
      <c r="L1587" s="320"/>
      <c r="M1587" s="320"/>
      <c r="N1587" s="320"/>
      <c r="O1587" s="321"/>
      <c r="P1587" s="321"/>
      <c r="Y1587" s="326"/>
      <c r="Z1587" s="326"/>
      <c r="AA1587" s="326"/>
      <c r="AB1587" s="326"/>
      <c r="AC1587" s="326"/>
      <c r="AG1587" s="326"/>
      <c r="AH1587" s="326"/>
      <c r="AI1587" s="326"/>
      <c r="AL1587" s="326"/>
      <c r="AM1587" s="326"/>
      <c r="AN1587" s="326"/>
    </row>
    <row r="1588" spans="1:40" x14ac:dyDescent="0.15">
      <c r="A1588" s="327"/>
      <c r="B1588" s="320"/>
      <c r="C1588" s="320"/>
      <c r="D1588" s="320"/>
      <c r="E1588" s="320"/>
      <c r="F1588" s="320"/>
      <c r="G1588" s="320"/>
      <c r="H1588" s="320"/>
      <c r="I1588" s="320"/>
      <c r="J1588" s="320"/>
      <c r="K1588" s="320"/>
      <c r="L1588" s="320"/>
      <c r="M1588" s="320"/>
      <c r="N1588" s="320"/>
      <c r="O1588" s="321"/>
      <c r="P1588" s="321"/>
      <c r="Y1588" s="326"/>
      <c r="Z1588" s="326"/>
      <c r="AA1588" s="326"/>
      <c r="AB1588" s="326"/>
      <c r="AC1588" s="326"/>
      <c r="AG1588" s="326"/>
      <c r="AH1588" s="326"/>
      <c r="AI1588" s="326"/>
      <c r="AL1588" s="326"/>
      <c r="AM1588" s="326"/>
      <c r="AN1588" s="326"/>
    </row>
    <row r="1589" spans="1:40" x14ac:dyDescent="0.15">
      <c r="A1589" s="327"/>
      <c r="B1589" s="320"/>
      <c r="C1589" s="320"/>
      <c r="D1589" s="320"/>
      <c r="E1589" s="320"/>
      <c r="F1589" s="320"/>
      <c r="G1589" s="320"/>
      <c r="H1589" s="320"/>
      <c r="I1589" s="320"/>
      <c r="J1589" s="320"/>
      <c r="K1589" s="320"/>
      <c r="L1589" s="320"/>
      <c r="M1589" s="320"/>
      <c r="N1589" s="320"/>
      <c r="O1589" s="321"/>
      <c r="P1589" s="321"/>
      <c r="Y1589" s="326"/>
      <c r="Z1589" s="326"/>
      <c r="AA1589" s="326"/>
      <c r="AB1589" s="326"/>
      <c r="AC1589" s="326"/>
      <c r="AG1589" s="326"/>
      <c r="AH1589" s="326"/>
      <c r="AI1589" s="326"/>
      <c r="AL1589" s="326"/>
      <c r="AM1589" s="326"/>
      <c r="AN1589" s="326"/>
    </row>
    <row r="1590" spans="1:40" x14ac:dyDescent="0.15">
      <c r="A1590" s="327"/>
      <c r="B1590" s="320"/>
      <c r="C1590" s="320"/>
      <c r="D1590" s="320"/>
      <c r="E1590" s="320"/>
      <c r="F1590" s="320"/>
      <c r="G1590" s="320"/>
      <c r="H1590" s="320"/>
      <c r="I1590" s="320"/>
      <c r="J1590" s="320"/>
      <c r="K1590" s="320"/>
      <c r="L1590" s="320"/>
      <c r="M1590" s="320"/>
      <c r="N1590" s="320"/>
      <c r="O1590" s="321"/>
      <c r="P1590" s="321"/>
      <c r="Y1590" s="326"/>
      <c r="Z1590" s="326"/>
      <c r="AA1590" s="326"/>
      <c r="AB1590" s="326"/>
      <c r="AC1590" s="326"/>
      <c r="AG1590" s="326"/>
      <c r="AH1590" s="326"/>
      <c r="AI1590" s="326"/>
      <c r="AL1590" s="326"/>
      <c r="AM1590" s="326"/>
      <c r="AN1590" s="326"/>
    </row>
    <row r="1591" spans="1:40" x14ac:dyDescent="0.15">
      <c r="A1591" s="327"/>
      <c r="B1591" s="320"/>
      <c r="C1591" s="320"/>
      <c r="D1591" s="320"/>
      <c r="E1591" s="320"/>
      <c r="F1591" s="320"/>
      <c r="G1591" s="320"/>
      <c r="H1591" s="320"/>
      <c r="I1591" s="320"/>
      <c r="J1591" s="320"/>
      <c r="K1591" s="320"/>
      <c r="L1591" s="320"/>
      <c r="M1591" s="320"/>
      <c r="N1591" s="320"/>
      <c r="O1591" s="321"/>
      <c r="P1591" s="321"/>
      <c r="Y1591" s="326"/>
      <c r="Z1591" s="326"/>
      <c r="AA1591" s="326"/>
      <c r="AB1591" s="326"/>
      <c r="AC1591" s="326"/>
      <c r="AG1591" s="326"/>
      <c r="AH1591" s="326"/>
      <c r="AI1591" s="326"/>
      <c r="AL1591" s="326"/>
      <c r="AM1591" s="326"/>
      <c r="AN1591" s="326"/>
    </row>
    <row r="1592" spans="1:40" x14ac:dyDescent="0.15">
      <c r="A1592" s="327"/>
      <c r="B1592" s="320"/>
      <c r="C1592" s="320"/>
      <c r="D1592" s="320"/>
      <c r="E1592" s="320"/>
      <c r="F1592" s="320"/>
      <c r="G1592" s="320"/>
      <c r="H1592" s="320"/>
      <c r="I1592" s="320"/>
      <c r="J1592" s="320"/>
      <c r="K1592" s="320"/>
      <c r="L1592" s="320"/>
      <c r="M1592" s="320"/>
      <c r="N1592" s="320"/>
      <c r="O1592" s="321"/>
      <c r="P1592" s="321"/>
      <c r="Y1592" s="326"/>
      <c r="Z1592" s="326"/>
      <c r="AA1592" s="326"/>
      <c r="AB1592" s="326"/>
      <c r="AC1592" s="326"/>
      <c r="AG1592" s="326"/>
      <c r="AH1592" s="326"/>
      <c r="AI1592" s="326"/>
      <c r="AL1592" s="326"/>
      <c r="AM1592" s="326"/>
      <c r="AN1592" s="326"/>
    </row>
    <row r="1593" spans="1:40" x14ac:dyDescent="0.15">
      <c r="A1593" s="327"/>
      <c r="B1593" s="320"/>
      <c r="C1593" s="320"/>
      <c r="D1593" s="320"/>
      <c r="E1593" s="320"/>
      <c r="F1593" s="320"/>
      <c r="G1593" s="320"/>
      <c r="H1593" s="320"/>
      <c r="I1593" s="320"/>
      <c r="J1593" s="320"/>
      <c r="K1593" s="320"/>
      <c r="L1593" s="320"/>
      <c r="M1593" s="320"/>
      <c r="N1593" s="320"/>
      <c r="O1593" s="321"/>
      <c r="P1593" s="321"/>
      <c r="Y1593" s="326"/>
      <c r="Z1593" s="326"/>
      <c r="AA1593" s="326"/>
      <c r="AB1593" s="326"/>
      <c r="AC1593" s="326"/>
      <c r="AG1593" s="326"/>
      <c r="AH1593" s="326"/>
      <c r="AI1593" s="326"/>
      <c r="AL1593" s="326"/>
      <c r="AM1593" s="326"/>
      <c r="AN1593" s="326"/>
    </row>
    <row r="1594" spans="1:40" x14ac:dyDescent="0.15">
      <c r="A1594" s="327"/>
      <c r="B1594" s="320"/>
      <c r="C1594" s="320"/>
      <c r="D1594" s="320"/>
      <c r="E1594" s="320"/>
      <c r="F1594" s="320"/>
      <c r="G1594" s="320"/>
      <c r="H1594" s="320"/>
      <c r="I1594" s="320"/>
      <c r="J1594" s="320"/>
      <c r="K1594" s="320"/>
      <c r="L1594" s="320"/>
      <c r="M1594" s="320"/>
      <c r="N1594" s="320"/>
      <c r="O1594" s="321"/>
      <c r="P1594" s="321"/>
      <c r="Y1594" s="326"/>
      <c r="Z1594" s="326"/>
      <c r="AA1594" s="326"/>
      <c r="AB1594" s="326"/>
      <c r="AC1594" s="326"/>
      <c r="AG1594" s="326"/>
      <c r="AH1594" s="326"/>
      <c r="AI1594" s="326"/>
      <c r="AL1594" s="326"/>
      <c r="AM1594" s="326"/>
      <c r="AN1594" s="326"/>
    </row>
    <row r="1595" spans="1:40" x14ac:dyDescent="0.15">
      <c r="A1595" s="327"/>
      <c r="B1595" s="320"/>
      <c r="C1595" s="320"/>
      <c r="D1595" s="320"/>
      <c r="E1595" s="320"/>
      <c r="F1595" s="320"/>
      <c r="G1595" s="320"/>
      <c r="H1595" s="320"/>
      <c r="I1595" s="320"/>
      <c r="J1595" s="320"/>
      <c r="K1595" s="320"/>
      <c r="L1595" s="320"/>
      <c r="M1595" s="320"/>
      <c r="N1595" s="320"/>
      <c r="O1595" s="321"/>
      <c r="P1595" s="321"/>
      <c r="Y1595" s="326"/>
      <c r="Z1595" s="326"/>
      <c r="AA1595" s="326"/>
      <c r="AB1595" s="326"/>
      <c r="AC1595" s="326"/>
      <c r="AG1595" s="326"/>
      <c r="AH1595" s="326"/>
      <c r="AI1595" s="326"/>
      <c r="AL1595" s="326"/>
      <c r="AM1595" s="326"/>
      <c r="AN1595" s="326"/>
    </row>
    <row r="1596" spans="1:40" x14ac:dyDescent="0.15">
      <c r="A1596" s="327"/>
      <c r="B1596" s="320"/>
      <c r="C1596" s="320"/>
      <c r="D1596" s="320"/>
      <c r="E1596" s="320"/>
      <c r="F1596" s="320"/>
      <c r="G1596" s="320"/>
      <c r="H1596" s="320"/>
      <c r="I1596" s="320"/>
      <c r="J1596" s="320"/>
      <c r="K1596" s="320"/>
      <c r="L1596" s="320"/>
      <c r="M1596" s="320"/>
      <c r="N1596" s="320"/>
      <c r="O1596" s="321"/>
      <c r="P1596" s="321"/>
      <c r="Y1596" s="326"/>
      <c r="Z1596" s="326"/>
      <c r="AA1596" s="326"/>
      <c r="AB1596" s="326"/>
      <c r="AC1596" s="326"/>
      <c r="AG1596" s="326"/>
      <c r="AH1596" s="326"/>
      <c r="AI1596" s="326"/>
      <c r="AL1596" s="326"/>
      <c r="AM1596" s="326"/>
      <c r="AN1596" s="326"/>
    </row>
    <row r="1597" spans="1:40" x14ac:dyDescent="0.15">
      <c r="A1597" s="327"/>
      <c r="B1597" s="320"/>
      <c r="C1597" s="320"/>
      <c r="D1597" s="320"/>
      <c r="E1597" s="320"/>
      <c r="F1597" s="320"/>
      <c r="G1597" s="320"/>
      <c r="H1597" s="320"/>
      <c r="I1597" s="320"/>
      <c r="J1597" s="320"/>
      <c r="K1597" s="320"/>
      <c r="L1597" s="320"/>
      <c r="M1597" s="320"/>
      <c r="N1597" s="320"/>
      <c r="O1597" s="321"/>
      <c r="P1597" s="321"/>
      <c r="Y1597" s="326"/>
      <c r="Z1597" s="326"/>
      <c r="AA1597" s="326"/>
      <c r="AB1597" s="326"/>
      <c r="AC1597" s="326"/>
      <c r="AG1597" s="326"/>
      <c r="AH1597" s="326"/>
      <c r="AI1597" s="326"/>
      <c r="AL1597" s="326"/>
      <c r="AM1597" s="326"/>
      <c r="AN1597" s="326"/>
    </row>
    <row r="1598" spans="1:40" x14ac:dyDescent="0.15">
      <c r="A1598" s="327"/>
      <c r="B1598" s="320"/>
      <c r="C1598" s="320"/>
      <c r="D1598" s="320"/>
      <c r="E1598" s="320"/>
      <c r="F1598" s="320"/>
      <c r="G1598" s="320"/>
      <c r="H1598" s="320"/>
      <c r="I1598" s="320"/>
      <c r="J1598" s="320"/>
      <c r="K1598" s="320"/>
      <c r="L1598" s="320"/>
      <c r="M1598" s="320"/>
      <c r="N1598" s="320"/>
      <c r="O1598" s="321"/>
      <c r="P1598" s="321"/>
      <c r="Y1598" s="326"/>
      <c r="Z1598" s="326"/>
      <c r="AA1598" s="326"/>
      <c r="AB1598" s="326"/>
      <c r="AC1598" s="326"/>
      <c r="AG1598" s="326"/>
      <c r="AH1598" s="326"/>
      <c r="AI1598" s="326"/>
      <c r="AL1598" s="326"/>
      <c r="AM1598" s="326"/>
      <c r="AN1598" s="326"/>
    </row>
    <row r="1599" spans="1:40" x14ac:dyDescent="0.15">
      <c r="A1599" s="327"/>
      <c r="B1599" s="320"/>
      <c r="C1599" s="320"/>
      <c r="D1599" s="320"/>
      <c r="E1599" s="320"/>
      <c r="F1599" s="320"/>
      <c r="G1599" s="320"/>
      <c r="H1599" s="320"/>
      <c r="I1599" s="320"/>
      <c r="J1599" s="320"/>
      <c r="K1599" s="320"/>
      <c r="L1599" s="320"/>
      <c r="M1599" s="320"/>
      <c r="N1599" s="320"/>
      <c r="O1599" s="321"/>
      <c r="P1599" s="321"/>
      <c r="Y1599" s="326"/>
      <c r="Z1599" s="326"/>
      <c r="AA1599" s="326"/>
      <c r="AB1599" s="326"/>
      <c r="AC1599" s="326"/>
      <c r="AG1599" s="326"/>
      <c r="AH1599" s="326"/>
      <c r="AI1599" s="326"/>
      <c r="AL1599" s="326"/>
      <c r="AM1599" s="326"/>
      <c r="AN1599" s="326"/>
    </row>
    <row r="1600" spans="1:40" x14ac:dyDescent="0.15">
      <c r="A1600" s="327"/>
      <c r="B1600" s="320"/>
      <c r="C1600" s="320"/>
      <c r="D1600" s="320"/>
      <c r="E1600" s="320"/>
      <c r="F1600" s="320"/>
      <c r="G1600" s="320"/>
      <c r="H1600" s="320"/>
      <c r="I1600" s="320"/>
      <c r="J1600" s="320"/>
      <c r="K1600" s="320"/>
      <c r="L1600" s="320"/>
      <c r="M1600" s="320"/>
      <c r="N1600" s="320"/>
      <c r="O1600" s="321"/>
      <c r="P1600" s="321"/>
      <c r="Y1600" s="326"/>
      <c r="Z1600" s="326"/>
      <c r="AA1600" s="326"/>
      <c r="AB1600" s="326"/>
      <c r="AC1600" s="326"/>
      <c r="AG1600" s="326"/>
      <c r="AH1600" s="326"/>
      <c r="AI1600" s="326"/>
      <c r="AL1600" s="326"/>
      <c r="AM1600" s="326"/>
      <c r="AN1600" s="326"/>
    </row>
    <row r="1601" spans="1:40" x14ac:dyDescent="0.15">
      <c r="A1601" s="327"/>
      <c r="B1601" s="320"/>
      <c r="C1601" s="320"/>
      <c r="D1601" s="320"/>
      <c r="E1601" s="320"/>
      <c r="F1601" s="320"/>
      <c r="G1601" s="320"/>
      <c r="H1601" s="320"/>
      <c r="I1601" s="320"/>
      <c r="J1601" s="320"/>
      <c r="K1601" s="320"/>
      <c r="L1601" s="320"/>
      <c r="M1601" s="320"/>
      <c r="N1601" s="320"/>
      <c r="O1601" s="321"/>
      <c r="P1601" s="321"/>
      <c r="Y1601" s="326"/>
      <c r="Z1601" s="326"/>
      <c r="AA1601" s="326"/>
      <c r="AB1601" s="326"/>
      <c r="AC1601" s="326"/>
      <c r="AG1601" s="326"/>
      <c r="AH1601" s="326"/>
      <c r="AI1601" s="326"/>
      <c r="AL1601" s="326"/>
      <c r="AM1601" s="326"/>
      <c r="AN1601" s="326"/>
    </row>
    <row r="1602" spans="1:40" x14ac:dyDescent="0.15">
      <c r="A1602" s="327"/>
      <c r="B1602" s="320"/>
      <c r="C1602" s="320"/>
      <c r="D1602" s="320"/>
      <c r="E1602" s="320"/>
      <c r="F1602" s="320"/>
      <c r="G1602" s="320"/>
      <c r="H1602" s="320"/>
      <c r="I1602" s="320"/>
      <c r="J1602" s="320"/>
      <c r="K1602" s="320"/>
      <c r="L1602" s="320"/>
      <c r="M1602" s="320"/>
      <c r="N1602" s="320"/>
      <c r="O1602" s="321"/>
      <c r="P1602" s="321"/>
      <c r="Y1602" s="326"/>
      <c r="Z1602" s="326"/>
      <c r="AA1602" s="326"/>
      <c r="AB1602" s="326"/>
      <c r="AC1602" s="326"/>
      <c r="AG1602" s="326"/>
      <c r="AH1602" s="326"/>
      <c r="AI1602" s="326"/>
      <c r="AL1602" s="326"/>
      <c r="AM1602" s="326"/>
      <c r="AN1602" s="326"/>
    </row>
    <row r="1603" spans="1:40" x14ac:dyDescent="0.15">
      <c r="A1603" s="327"/>
      <c r="B1603" s="320"/>
      <c r="C1603" s="320"/>
      <c r="D1603" s="320"/>
      <c r="E1603" s="320"/>
      <c r="F1603" s="320"/>
      <c r="G1603" s="320"/>
      <c r="H1603" s="320"/>
      <c r="I1603" s="320"/>
      <c r="J1603" s="320"/>
      <c r="K1603" s="320"/>
      <c r="L1603" s="320"/>
      <c r="M1603" s="320"/>
      <c r="N1603" s="320"/>
      <c r="O1603" s="321"/>
      <c r="P1603" s="321"/>
      <c r="Y1603" s="326"/>
      <c r="Z1603" s="326"/>
      <c r="AA1603" s="326"/>
      <c r="AB1603" s="326"/>
      <c r="AC1603" s="326"/>
      <c r="AG1603" s="326"/>
      <c r="AH1603" s="326"/>
      <c r="AI1603" s="326"/>
      <c r="AL1603" s="326"/>
      <c r="AM1603" s="326"/>
      <c r="AN1603" s="326"/>
    </row>
    <row r="1604" spans="1:40" x14ac:dyDescent="0.15">
      <c r="A1604" s="327"/>
      <c r="B1604" s="320"/>
      <c r="C1604" s="320"/>
      <c r="D1604" s="320"/>
      <c r="E1604" s="320"/>
      <c r="F1604" s="320"/>
      <c r="G1604" s="320"/>
      <c r="H1604" s="320"/>
      <c r="I1604" s="320"/>
      <c r="J1604" s="320"/>
      <c r="K1604" s="320"/>
      <c r="L1604" s="320"/>
      <c r="M1604" s="320"/>
      <c r="N1604" s="320"/>
      <c r="O1604" s="321"/>
      <c r="P1604" s="321"/>
      <c r="Y1604" s="326"/>
      <c r="Z1604" s="326"/>
      <c r="AA1604" s="326"/>
      <c r="AB1604" s="326"/>
      <c r="AC1604" s="326"/>
      <c r="AG1604" s="326"/>
      <c r="AH1604" s="326"/>
      <c r="AI1604" s="326"/>
      <c r="AL1604" s="326"/>
      <c r="AM1604" s="326"/>
      <c r="AN1604" s="326"/>
    </row>
    <row r="1605" spans="1:40" x14ac:dyDescent="0.15">
      <c r="A1605" s="327"/>
      <c r="B1605" s="320"/>
      <c r="C1605" s="320"/>
      <c r="D1605" s="320"/>
      <c r="E1605" s="320"/>
      <c r="F1605" s="320"/>
      <c r="G1605" s="320"/>
      <c r="H1605" s="320"/>
      <c r="I1605" s="320"/>
      <c r="J1605" s="320"/>
      <c r="K1605" s="320"/>
      <c r="L1605" s="320"/>
      <c r="M1605" s="320"/>
      <c r="N1605" s="320"/>
      <c r="O1605" s="321"/>
      <c r="P1605" s="321"/>
      <c r="Y1605" s="326"/>
      <c r="Z1605" s="326"/>
      <c r="AA1605" s="326"/>
      <c r="AB1605" s="326"/>
      <c r="AC1605" s="326"/>
      <c r="AG1605" s="326"/>
      <c r="AH1605" s="326"/>
      <c r="AI1605" s="326"/>
      <c r="AL1605" s="326"/>
      <c r="AM1605" s="326"/>
      <c r="AN1605" s="326"/>
    </row>
    <row r="1606" spans="1:40" x14ac:dyDescent="0.15">
      <c r="A1606" s="327"/>
      <c r="B1606" s="320"/>
      <c r="C1606" s="320"/>
      <c r="D1606" s="320"/>
      <c r="E1606" s="320"/>
      <c r="F1606" s="320"/>
      <c r="G1606" s="320"/>
      <c r="H1606" s="320"/>
      <c r="I1606" s="320"/>
      <c r="J1606" s="320"/>
      <c r="K1606" s="320"/>
      <c r="L1606" s="320"/>
      <c r="M1606" s="320"/>
      <c r="N1606" s="320"/>
      <c r="O1606" s="321"/>
      <c r="P1606" s="321"/>
      <c r="Y1606" s="326"/>
      <c r="Z1606" s="326"/>
      <c r="AA1606" s="326"/>
      <c r="AB1606" s="326"/>
      <c r="AC1606" s="326"/>
      <c r="AG1606" s="326"/>
      <c r="AH1606" s="326"/>
      <c r="AI1606" s="326"/>
      <c r="AL1606" s="326"/>
      <c r="AM1606" s="326"/>
      <c r="AN1606" s="326"/>
    </row>
    <row r="1607" spans="1:40" x14ac:dyDescent="0.15">
      <c r="A1607" s="327"/>
      <c r="B1607" s="320"/>
      <c r="C1607" s="320"/>
      <c r="D1607" s="320"/>
      <c r="E1607" s="320"/>
      <c r="F1607" s="320"/>
      <c r="G1607" s="320"/>
      <c r="H1607" s="320"/>
      <c r="I1607" s="320"/>
      <c r="J1607" s="320"/>
      <c r="K1607" s="320"/>
      <c r="L1607" s="320"/>
      <c r="M1607" s="320"/>
      <c r="N1607" s="320"/>
      <c r="O1607" s="321"/>
      <c r="P1607" s="321"/>
      <c r="Y1607" s="326"/>
      <c r="Z1607" s="326"/>
      <c r="AA1607" s="326"/>
      <c r="AB1607" s="326"/>
      <c r="AC1607" s="326"/>
      <c r="AG1607" s="326"/>
      <c r="AH1607" s="326"/>
      <c r="AI1607" s="326"/>
      <c r="AL1607" s="326"/>
      <c r="AM1607" s="326"/>
      <c r="AN1607" s="326"/>
    </row>
    <row r="1608" spans="1:40" x14ac:dyDescent="0.15">
      <c r="A1608" s="327"/>
      <c r="B1608" s="320"/>
      <c r="C1608" s="320"/>
      <c r="D1608" s="320"/>
      <c r="E1608" s="320"/>
      <c r="F1608" s="320"/>
      <c r="G1608" s="320"/>
      <c r="H1608" s="320"/>
      <c r="I1608" s="320"/>
      <c r="J1608" s="320"/>
      <c r="K1608" s="320"/>
      <c r="L1608" s="320"/>
      <c r="M1608" s="320"/>
      <c r="N1608" s="320"/>
      <c r="O1608" s="321"/>
      <c r="P1608" s="321"/>
      <c r="Y1608" s="326"/>
      <c r="Z1608" s="326"/>
      <c r="AA1608" s="326"/>
      <c r="AB1608" s="326"/>
      <c r="AC1608" s="326"/>
      <c r="AG1608" s="326"/>
      <c r="AH1608" s="326"/>
      <c r="AI1608" s="326"/>
      <c r="AL1608" s="326"/>
      <c r="AM1608" s="326"/>
      <c r="AN1608" s="326"/>
    </row>
    <row r="1609" spans="1:40" x14ac:dyDescent="0.15">
      <c r="A1609" s="327"/>
      <c r="B1609" s="320"/>
      <c r="C1609" s="320"/>
      <c r="D1609" s="320"/>
      <c r="E1609" s="320"/>
      <c r="F1609" s="320"/>
      <c r="G1609" s="320"/>
      <c r="H1609" s="320"/>
      <c r="I1609" s="320"/>
      <c r="J1609" s="320"/>
      <c r="K1609" s="320"/>
      <c r="L1609" s="320"/>
      <c r="M1609" s="320"/>
      <c r="N1609" s="320"/>
      <c r="O1609" s="321"/>
      <c r="P1609" s="321"/>
      <c r="Y1609" s="326"/>
      <c r="Z1609" s="326"/>
      <c r="AA1609" s="326"/>
      <c r="AB1609" s="326"/>
      <c r="AC1609" s="326"/>
      <c r="AG1609" s="326"/>
      <c r="AH1609" s="326"/>
      <c r="AI1609" s="326"/>
      <c r="AL1609" s="326"/>
      <c r="AM1609" s="326"/>
      <c r="AN1609" s="326"/>
    </row>
    <row r="1610" spans="1:40" x14ac:dyDescent="0.15">
      <c r="A1610" s="327"/>
      <c r="B1610" s="320"/>
      <c r="C1610" s="320"/>
      <c r="D1610" s="320"/>
      <c r="E1610" s="320"/>
      <c r="F1610" s="320"/>
      <c r="G1610" s="320"/>
      <c r="H1610" s="320"/>
      <c r="I1610" s="320"/>
      <c r="J1610" s="320"/>
      <c r="K1610" s="320"/>
      <c r="L1610" s="320"/>
      <c r="M1610" s="320"/>
      <c r="N1610" s="320"/>
      <c r="O1610" s="321"/>
      <c r="P1610" s="321"/>
      <c r="Y1610" s="326"/>
      <c r="Z1610" s="326"/>
      <c r="AA1610" s="326"/>
      <c r="AB1610" s="326"/>
      <c r="AC1610" s="326"/>
      <c r="AG1610" s="326"/>
      <c r="AH1610" s="326"/>
      <c r="AI1610" s="326"/>
      <c r="AL1610" s="326"/>
      <c r="AM1610" s="326"/>
      <c r="AN1610" s="326"/>
    </row>
    <row r="1611" spans="1:40" x14ac:dyDescent="0.15">
      <c r="A1611" s="327"/>
      <c r="B1611" s="320"/>
      <c r="C1611" s="320"/>
      <c r="D1611" s="320"/>
      <c r="E1611" s="320"/>
      <c r="F1611" s="320"/>
      <c r="G1611" s="320"/>
      <c r="H1611" s="320"/>
      <c r="I1611" s="320"/>
      <c r="J1611" s="320"/>
      <c r="K1611" s="320"/>
      <c r="L1611" s="320"/>
      <c r="M1611" s="320"/>
      <c r="N1611" s="320"/>
      <c r="O1611" s="321"/>
      <c r="P1611" s="321"/>
      <c r="Y1611" s="326"/>
      <c r="Z1611" s="326"/>
      <c r="AA1611" s="326"/>
      <c r="AB1611" s="326"/>
      <c r="AC1611" s="326"/>
      <c r="AG1611" s="326"/>
      <c r="AH1611" s="326"/>
      <c r="AI1611" s="326"/>
      <c r="AL1611" s="326"/>
      <c r="AM1611" s="326"/>
      <c r="AN1611" s="326"/>
    </row>
    <row r="1612" spans="1:40" x14ac:dyDescent="0.15">
      <c r="A1612" s="327"/>
      <c r="B1612" s="320"/>
      <c r="C1612" s="320"/>
      <c r="D1612" s="320"/>
      <c r="E1612" s="320"/>
      <c r="F1612" s="320"/>
      <c r="G1612" s="320"/>
      <c r="H1612" s="320"/>
      <c r="I1612" s="320"/>
      <c r="J1612" s="320"/>
      <c r="K1612" s="320"/>
      <c r="L1612" s="320"/>
      <c r="M1612" s="320"/>
      <c r="N1612" s="320"/>
      <c r="O1612" s="321"/>
      <c r="P1612" s="321"/>
      <c r="Y1612" s="326"/>
      <c r="Z1612" s="326"/>
      <c r="AA1612" s="326"/>
      <c r="AB1612" s="326"/>
      <c r="AC1612" s="326"/>
      <c r="AG1612" s="326"/>
      <c r="AH1612" s="326"/>
      <c r="AI1612" s="326"/>
      <c r="AL1612" s="326"/>
      <c r="AM1612" s="326"/>
      <c r="AN1612" s="326"/>
    </row>
    <row r="1613" spans="1:40" x14ac:dyDescent="0.15">
      <c r="A1613" s="327"/>
      <c r="B1613" s="320"/>
      <c r="C1613" s="320"/>
      <c r="D1613" s="320"/>
      <c r="E1613" s="320"/>
      <c r="F1613" s="320"/>
      <c r="G1613" s="320"/>
      <c r="H1613" s="320"/>
      <c r="I1613" s="320"/>
      <c r="J1613" s="320"/>
      <c r="K1613" s="320"/>
      <c r="L1613" s="320"/>
      <c r="M1613" s="320"/>
      <c r="N1613" s="320"/>
      <c r="O1613" s="321"/>
      <c r="P1613" s="321"/>
      <c r="Y1613" s="326"/>
      <c r="Z1613" s="326"/>
      <c r="AA1613" s="326"/>
      <c r="AB1613" s="326"/>
      <c r="AC1613" s="326"/>
      <c r="AG1613" s="326"/>
      <c r="AH1613" s="326"/>
      <c r="AI1613" s="326"/>
      <c r="AL1613" s="326"/>
      <c r="AM1613" s="326"/>
      <c r="AN1613" s="326"/>
    </row>
    <row r="1614" spans="1:40" x14ac:dyDescent="0.15">
      <c r="A1614" s="327"/>
      <c r="B1614" s="320"/>
      <c r="C1614" s="320"/>
      <c r="D1614" s="320"/>
      <c r="E1614" s="320"/>
      <c r="F1614" s="320"/>
      <c r="G1614" s="320"/>
      <c r="H1614" s="320"/>
      <c r="I1614" s="320"/>
      <c r="J1614" s="320"/>
      <c r="K1614" s="320"/>
      <c r="L1614" s="320"/>
      <c r="M1614" s="320"/>
      <c r="N1614" s="320"/>
      <c r="O1614" s="321"/>
      <c r="P1614" s="321"/>
      <c r="Y1614" s="326"/>
      <c r="Z1614" s="326"/>
      <c r="AA1614" s="326"/>
      <c r="AB1614" s="326"/>
      <c r="AC1614" s="326"/>
      <c r="AG1614" s="326"/>
      <c r="AH1614" s="326"/>
      <c r="AI1614" s="326"/>
      <c r="AL1614" s="326"/>
      <c r="AM1614" s="326"/>
      <c r="AN1614" s="326"/>
    </row>
    <row r="1615" spans="1:40" x14ac:dyDescent="0.15">
      <c r="A1615" s="327"/>
      <c r="B1615" s="320"/>
      <c r="C1615" s="320"/>
      <c r="D1615" s="320"/>
      <c r="E1615" s="320"/>
      <c r="F1615" s="320"/>
      <c r="G1615" s="320"/>
      <c r="H1615" s="320"/>
      <c r="I1615" s="320"/>
      <c r="J1615" s="320"/>
      <c r="K1615" s="320"/>
      <c r="L1615" s="320"/>
      <c r="M1615" s="320"/>
      <c r="N1615" s="320"/>
      <c r="O1615" s="321"/>
      <c r="P1615" s="321"/>
      <c r="Y1615" s="326"/>
      <c r="Z1615" s="326"/>
      <c r="AA1615" s="326"/>
      <c r="AB1615" s="326"/>
      <c r="AC1615" s="326"/>
      <c r="AG1615" s="326"/>
      <c r="AH1615" s="326"/>
      <c r="AI1615" s="326"/>
      <c r="AL1615" s="326"/>
      <c r="AM1615" s="326"/>
      <c r="AN1615" s="326"/>
    </row>
    <row r="1616" spans="1:40" x14ac:dyDescent="0.15">
      <c r="A1616" s="327"/>
      <c r="B1616" s="320"/>
      <c r="C1616" s="320"/>
      <c r="D1616" s="320"/>
      <c r="E1616" s="320"/>
      <c r="F1616" s="320"/>
      <c r="G1616" s="320"/>
      <c r="H1616" s="320"/>
      <c r="I1616" s="320"/>
      <c r="J1616" s="320"/>
      <c r="K1616" s="320"/>
      <c r="L1616" s="320"/>
      <c r="M1616" s="320"/>
      <c r="N1616" s="320"/>
      <c r="O1616" s="321"/>
      <c r="P1616" s="321"/>
      <c r="Y1616" s="326"/>
      <c r="Z1616" s="326"/>
      <c r="AA1616" s="326"/>
      <c r="AB1616" s="326"/>
      <c r="AC1616" s="326"/>
      <c r="AG1616" s="326"/>
      <c r="AH1616" s="326"/>
      <c r="AI1616" s="326"/>
      <c r="AL1616" s="326"/>
      <c r="AM1616" s="326"/>
      <c r="AN1616" s="326"/>
    </row>
    <row r="1617" spans="1:40" x14ac:dyDescent="0.15">
      <c r="A1617" s="327"/>
      <c r="B1617" s="320"/>
      <c r="C1617" s="320"/>
      <c r="D1617" s="320"/>
      <c r="E1617" s="320"/>
      <c r="F1617" s="320"/>
      <c r="G1617" s="320"/>
      <c r="H1617" s="320"/>
      <c r="I1617" s="320"/>
      <c r="J1617" s="320"/>
      <c r="K1617" s="320"/>
      <c r="L1617" s="320"/>
      <c r="M1617" s="320"/>
      <c r="N1617" s="320"/>
      <c r="O1617" s="321"/>
      <c r="P1617" s="321"/>
      <c r="Y1617" s="326"/>
      <c r="Z1617" s="326"/>
      <c r="AA1617" s="326"/>
      <c r="AB1617" s="326"/>
      <c r="AC1617" s="326"/>
      <c r="AG1617" s="326"/>
      <c r="AH1617" s="326"/>
      <c r="AI1617" s="326"/>
      <c r="AL1617" s="326"/>
      <c r="AM1617" s="326"/>
      <c r="AN1617" s="326"/>
    </row>
    <row r="1618" spans="1:40" x14ac:dyDescent="0.15">
      <c r="A1618" s="327"/>
      <c r="B1618" s="320"/>
      <c r="C1618" s="320"/>
      <c r="D1618" s="320"/>
      <c r="E1618" s="320"/>
      <c r="F1618" s="320"/>
      <c r="G1618" s="320"/>
      <c r="H1618" s="320"/>
      <c r="I1618" s="320"/>
      <c r="J1618" s="320"/>
      <c r="K1618" s="320"/>
      <c r="L1618" s="320"/>
      <c r="M1618" s="320"/>
      <c r="N1618" s="320"/>
      <c r="O1618" s="321"/>
      <c r="P1618" s="321"/>
      <c r="Y1618" s="326"/>
      <c r="Z1618" s="326"/>
      <c r="AA1618" s="326"/>
      <c r="AB1618" s="326"/>
      <c r="AC1618" s="326"/>
      <c r="AG1618" s="326"/>
      <c r="AH1618" s="326"/>
      <c r="AI1618" s="326"/>
      <c r="AL1618" s="326"/>
      <c r="AM1618" s="326"/>
      <c r="AN1618" s="326"/>
    </row>
    <row r="1619" spans="1:40" x14ac:dyDescent="0.15">
      <c r="A1619" s="327"/>
      <c r="B1619" s="320"/>
      <c r="C1619" s="320"/>
      <c r="D1619" s="320"/>
      <c r="E1619" s="320"/>
      <c r="F1619" s="320"/>
      <c r="G1619" s="320"/>
      <c r="H1619" s="320"/>
      <c r="I1619" s="320"/>
      <c r="J1619" s="320"/>
      <c r="K1619" s="320"/>
      <c r="L1619" s="320"/>
      <c r="M1619" s="320"/>
      <c r="N1619" s="320"/>
      <c r="O1619" s="321"/>
      <c r="P1619" s="321"/>
      <c r="Y1619" s="326"/>
      <c r="Z1619" s="326"/>
      <c r="AA1619" s="326"/>
      <c r="AB1619" s="326"/>
      <c r="AC1619" s="326"/>
      <c r="AG1619" s="326"/>
      <c r="AH1619" s="326"/>
      <c r="AI1619" s="326"/>
      <c r="AL1619" s="326"/>
      <c r="AM1619" s="326"/>
      <c r="AN1619" s="326"/>
    </row>
    <row r="1620" spans="1:40" x14ac:dyDescent="0.15">
      <c r="A1620" s="327"/>
      <c r="B1620" s="320"/>
      <c r="C1620" s="320"/>
      <c r="D1620" s="320"/>
      <c r="E1620" s="320"/>
      <c r="F1620" s="320"/>
      <c r="G1620" s="320"/>
      <c r="H1620" s="320"/>
      <c r="I1620" s="320"/>
      <c r="J1620" s="320"/>
      <c r="K1620" s="320"/>
      <c r="L1620" s="320"/>
      <c r="M1620" s="320"/>
      <c r="N1620" s="320"/>
      <c r="O1620" s="321"/>
      <c r="P1620" s="321"/>
      <c r="Y1620" s="326"/>
      <c r="Z1620" s="326"/>
      <c r="AA1620" s="326"/>
      <c r="AB1620" s="326"/>
      <c r="AC1620" s="326"/>
      <c r="AG1620" s="326"/>
      <c r="AH1620" s="326"/>
      <c r="AI1620" s="326"/>
      <c r="AL1620" s="326"/>
      <c r="AM1620" s="326"/>
      <c r="AN1620" s="326"/>
    </row>
    <row r="1621" spans="1:40" x14ac:dyDescent="0.15">
      <c r="A1621" s="327"/>
      <c r="B1621" s="320"/>
      <c r="C1621" s="320"/>
      <c r="D1621" s="320"/>
      <c r="E1621" s="320"/>
      <c r="F1621" s="320"/>
      <c r="G1621" s="320"/>
      <c r="H1621" s="320"/>
      <c r="I1621" s="320"/>
      <c r="J1621" s="320"/>
      <c r="K1621" s="320"/>
      <c r="L1621" s="320"/>
      <c r="M1621" s="320"/>
      <c r="N1621" s="320"/>
      <c r="O1621" s="321"/>
      <c r="P1621" s="321"/>
      <c r="Y1621" s="326"/>
      <c r="Z1621" s="326"/>
      <c r="AA1621" s="326"/>
      <c r="AB1621" s="326"/>
      <c r="AC1621" s="326"/>
      <c r="AG1621" s="326"/>
      <c r="AH1621" s="326"/>
      <c r="AI1621" s="326"/>
      <c r="AL1621" s="326"/>
      <c r="AM1621" s="326"/>
      <c r="AN1621" s="326"/>
    </row>
    <row r="1622" spans="1:40" x14ac:dyDescent="0.15">
      <c r="A1622" s="327"/>
      <c r="B1622" s="320"/>
      <c r="C1622" s="320"/>
      <c r="D1622" s="320"/>
      <c r="E1622" s="320"/>
      <c r="F1622" s="320"/>
      <c r="G1622" s="320"/>
      <c r="H1622" s="320"/>
      <c r="I1622" s="320"/>
      <c r="J1622" s="320"/>
      <c r="K1622" s="320"/>
      <c r="L1622" s="320"/>
      <c r="M1622" s="320"/>
      <c r="N1622" s="320"/>
      <c r="O1622" s="321"/>
      <c r="P1622" s="321"/>
      <c r="Y1622" s="326"/>
      <c r="Z1622" s="326"/>
      <c r="AA1622" s="326"/>
      <c r="AB1622" s="326"/>
      <c r="AC1622" s="326"/>
      <c r="AG1622" s="326"/>
      <c r="AH1622" s="326"/>
      <c r="AI1622" s="326"/>
      <c r="AL1622" s="326"/>
      <c r="AM1622" s="326"/>
      <c r="AN1622" s="326"/>
    </row>
    <row r="1623" spans="1:40" x14ac:dyDescent="0.15">
      <c r="A1623" s="327"/>
      <c r="B1623" s="320"/>
      <c r="C1623" s="320"/>
      <c r="D1623" s="320"/>
      <c r="E1623" s="320"/>
      <c r="F1623" s="320"/>
      <c r="G1623" s="320"/>
      <c r="H1623" s="320"/>
      <c r="I1623" s="320"/>
      <c r="J1623" s="320"/>
      <c r="K1623" s="320"/>
      <c r="L1623" s="320"/>
      <c r="M1623" s="320"/>
      <c r="N1623" s="320"/>
      <c r="O1623" s="321"/>
      <c r="P1623" s="321"/>
      <c r="Y1623" s="326"/>
      <c r="Z1623" s="326"/>
      <c r="AA1623" s="326"/>
      <c r="AB1623" s="326"/>
      <c r="AC1623" s="326"/>
      <c r="AG1623" s="326"/>
      <c r="AH1623" s="326"/>
      <c r="AI1623" s="326"/>
      <c r="AL1623" s="326"/>
      <c r="AM1623" s="326"/>
      <c r="AN1623" s="326"/>
    </row>
    <row r="1624" spans="1:40" x14ac:dyDescent="0.15">
      <c r="A1624" s="327"/>
      <c r="B1624" s="320"/>
      <c r="C1624" s="320"/>
      <c r="D1624" s="320"/>
      <c r="E1624" s="320"/>
      <c r="F1624" s="320"/>
      <c r="G1624" s="320"/>
      <c r="H1624" s="320"/>
      <c r="I1624" s="320"/>
      <c r="J1624" s="320"/>
      <c r="K1624" s="320"/>
      <c r="L1624" s="320"/>
      <c r="M1624" s="320"/>
      <c r="N1624" s="320"/>
      <c r="O1624" s="321"/>
      <c r="P1624" s="321"/>
      <c r="Y1624" s="326"/>
      <c r="Z1624" s="326"/>
      <c r="AA1624" s="326"/>
      <c r="AB1624" s="326"/>
      <c r="AC1624" s="326"/>
      <c r="AG1624" s="326"/>
      <c r="AH1624" s="326"/>
      <c r="AI1624" s="326"/>
      <c r="AL1624" s="326"/>
      <c r="AM1624" s="326"/>
      <c r="AN1624" s="326"/>
    </row>
    <row r="1625" spans="1:40" x14ac:dyDescent="0.15">
      <c r="A1625" s="327"/>
      <c r="B1625" s="320"/>
      <c r="C1625" s="320"/>
      <c r="D1625" s="320"/>
      <c r="E1625" s="320"/>
      <c r="F1625" s="320"/>
      <c r="G1625" s="320"/>
      <c r="H1625" s="320"/>
      <c r="I1625" s="320"/>
      <c r="J1625" s="320"/>
      <c r="K1625" s="320"/>
      <c r="L1625" s="320"/>
      <c r="M1625" s="320"/>
      <c r="N1625" s="320"/>
      <c r="O1625" s="321"/>
      <c r="P1625" s="321"/>
      <c r="Y1625" s="326"/>
      <c r="Z1625" s="326"/>
      <c r="AA1625" s="326"/>
      <c r="AB1625" s="326"/>
      <c r="AC1625" s="326"/>
      <c r="AG1625" s="326"/>
      <c r="AH1625" s="326"/>
      <c r="AI1625" s="326"/>
      <c r="AL1625" s="326"/>
      <c r="AM1625" s="326"/>
      <c r="AN1625" s="326"/>
    </row>
    <row r="1626" spans="1:40" x14ac:dyDescent="0.15">
      <c r="A1626" s="327"/>
      <c r="B1626" s="320"/>
      <c r="C1626" s="320"/>
      <c r="D1626" s="320"/>
      <c r="E1626" s="320"/>
      <c r="F1626" s="320"/>
      <c r="G1626" s="320"/>
      <c r="H1626" s="320"/>
      <c r="I1626" s="320"/>
      <c r="J1626" s="320"/>
      <c r="K1626" s="320"/>
      <c r="L1626" s="320"/>
      <c r="M1626" s="320"/>
      <c r="N1626" s="320"/>
      <c r="O1626" s="321"/>
      <c r="P1626" s="321"/>
      <c r="Y1626" s="326"/>
      <c r="Z1626" s="326"/>
      <c r="AA1626" s="326"/>
      <c r="AB1626" s="326"/>
      <c r="AC1626" s="326"/>
      <c r="AG1626" s="326"/>
      <c r="AH1626" s="326"/>
      <c r="AI1626" s="326"/>
      <c r="AL1626" s="326"/>
      <c r="AM1626" s="326"/>
      <c r="AN1626" s="326"/>
    </row>
    <row r="1627" spans="1:40" x14ac:dyDescent="0.15">
      <c r="A1627" s="327"/>
      <c r="B1627" s="320"/>
      <c r="C1627" s="320"/>
      <c r="D1627" s="320"/>
      <c r="E1627" s="320"/>
      <c r="F1627" s="320"/>
      <c r="G1627" s="320"/>
      <c r="H1627" s="320"/>
      <c r="I1627" s="320"/>
      <c r="J1627" s="320"/>
      <c r="K1627" s="320"/>
      <c r="L1627" s="320"/>
      <c r="M1627" s="320"/>
      <c r="N1627" s="320"/>
      <c r="O1627" s="321"/>
      <c r="P1627" s="321"/>
      <c r="Y1627" s="326"/>
      <c r="Z1627" s="326"/>
      <c r="AA1627" s="326"/>
      <c r="AB1627" s="326"/>
      <c r="AC1627" s="326"/>
      <c r="AG1627" s="326"/>
      <c r="AH1627" s="326"/>
      <c r="AI1627" s="326"/>
      <c r="AL1627" s="326"/>
      <c r="AM1627" s="326"/>
      <c r="AN1627" s="326"/>
    </row>
    <row r="1628" spans="1:40" x14ac:dyDescent="0.15">
      <c r="A1628" s="327"/>
      <c r="B1628" s="320"/>
      <c r="C1628" s="320"/>
      <c r="D1628" s="320"/>
      <c r="E1628" s="320"/>
      <c r="F1628" s="320"/>
      <c r="G1628" s="320"/>
      <c r="H1628" s="320"/>
      <c r="I1628" s="320"/>
      <c r="J1628" s="320"/>
      <c r="K1628" s="320"/>
      <c r="L1628" s="320"/>
      <c r="M1628" s="320"/>
      <c r="N1628" s="320"/>
      <c r="O1628" s="321"/>
      <c r="P1628" s="321"/>
      <c r="Y1628" s="326"/>
      <c r="Z1628" s="326"/>
      <c r="AA1628" s="326"/>
      <c r="AB1628" s="326"/>
      <c r="AC1628" s="326"/>
      <c r="AG1628" s="326"/>
      <c r="AH1628" s="326"/>
      <c r="AI1628" s="326"/>
      <c r="AL1628" s="326"/>
      <c r="AM1628" s="326"/>
      <c r="AN1628" s="326"/>
    </row>
    <row r="1629" spans="1:40" x14ac:dyDescent="0.15">
      <c r="A1629" s="327"/>
      <c r="B1629" s="320"/>
      <c r="C1629" s="320"/>
      <c r="D1629" s="320"/>
      <c r="E1629" s="320"/>
      <c r="F1629" s="320"/>
      <c r="G1629" s="320"/>
      <c r="H1629" s="320"/>
      <c r="I1629" s="320"/>
      <c r="J1629" s="320"/>
      <c r="K1629" s="320"/>
      <c r="L1629" s="320"/>
      <c r="M1629" s="320"/>
      <c r="N1629" s="320"/>
      <c r="O1629" s="321"/>
      <c r="P1629" s="321"/>
      <c r="Y1629" s="326"/>
      <c r="Z1629" s="326"/>
      <c r="AA1629" s="326"/>
      <c r="AB1629" s="326"/>
      <c r="AC1629" s="326"/>
      <c r="AG1629" s="326"/>
      <c r="AH1629" s="326"/>
      <c r="AI1629" s="326"/>
      <c r="AL1629" s="326"/>
      <c r="AM1629" s="326"/>
      <c r="AN1629" s="326"/>
    </row>
    <row r="1630" spans="1:40" x14ac:dyDescent="0.15">
      <c r="A1630" s="327"/>
      <c r="B1630" s="320"/>
      <c r="C1630" s="320"/>
      <c r="D1630" s="320"/>
      <c r="E1630" s="320"/>
      <c r="F1630" s="320"/>
      <c r="G1630" s="320"/>
      <c r="H1630" s="320"/>
      <c r="I1630" s="320"/>
      <c r="J1630" s="320"/>
      <c r="K1630" s="320"/>
      <c r="L1630" s="320"/>
      <c r="M1630" s="320"/>
      <c r="N1630" s="320"/>
      <c r="O1630" s="321"/>
      <c r="P1630" s="321"/>
      <c r="Y1630" s="326"/>
      <c r="Z1630" s="326"/>
      <c r="AA1630" s="326"/>
      <c r="AB1630" s="326"/>
      <c r="AC1630" s="326"/>
      <c r="AG1630" s="326"/>
      <c r="AH1630" s="326"/>
      <c r="AI1630" s="326"/>
      <c r="AL1630" s="326"/>
      <c r="AM1630" s="326"/>
      <c r="AN1630" s="326"/>
    </row>
    <row r="1631" spans="1:40" x14ac:dyDescent="0.15">
      <c r="A1631" s="327"/>
      <c r="B1631" s="320"/>
      <c r="C1631" s="320"/>
      <c r="D1631" s="320"/>
      <c r="E1631" s="320"/>
      <c r="F1631" s="320"/>
      <c r="G1631" s="320"/>
      <c r="H1631" s="320"/>
      <c r="I1631" s="320"/>
      <c r="J1631" s="320"/>
      <c r="K1631" s="320"/>
      <c r="L1631" s="320"/>
      <c r="M1631" s="320"/>
      <c r="N1631" s="320"/>
      <c r="O1631" s="321"/>
      <c r="P1631" s="321"/>
      <c r="Y1631" s="326"/>
      <c r="Z1631" s="326"/>
      <c r="AA1631" s="326"/>
      <c r="AB1631" s="326"/>
      <c r="AC1631" s="326"/>
      <c r="AG1631" s="326"/>
      <c r="AH1631" s="326"/>
      <c r="AI1631" s="326"/>
      <c r="AL1631" s="326"/>
      <c r="AM1631" s="326"/>
      <c r="AN1631" s="326"/>
    </row>
    <row r="1632" spans="1:40" x14ac:dyDescent="0.15">
      <c r="A1632" s="327"/>
      <c r="B1632" s="320"/>
      <c r="C1632" s="320"/>
      <c r="D1632" s="320"/>
      <c r="E1632" s="320"/>
      <c r="F1632" s="320"/>
      <c r="G1632" s="320"/>
      <c r="H1632" s="320"/>
      <c r="I1632" s="320"/>
      <c r="J1632" s="320"/>
      <c r="K1632" s="320"/>
      <c r="L1632" s="320"/>
      <c r="M1632" s="320"/>
      <c r="N1632" s="320"/>
      <c r="O1632" s="321"/>
      <c r="P1632" s="321"/>
      <c r="Y1632" s="326"/>
      <c r="Z1632" s="326"/>
      <c r="AA1632" s="326"/>
      <c r="AB1632" s="326"/>
      <c r="AC1632" s="326"/>
      <c r="AG1632" s="326"/>
      <c r="AH1632" s="326"/>
      <c r="AI1632" s="326"/>
      <c r="AL1632" s="326"/>
      <c r="AM1632" s="326"/>
      <c r="AN1632" s="326"/>
    </row>
    <row r="1633" spans="1:40" x14ac:dyDescent="0.15">
      <c r="A1633" s="327"/>
      <c r="B1633" s="320"/>
      <c r="C1633" s="320"/>
      <c r="D1633" s="320"/>
      <c r="E1633" s="320"/>
      <c r="F1633" s="320"/>
      <c r="G1633" s="320"/>
      <c r="H1633" s="320"/>
      <c r="I1633" s="320"/>
      <c r="J1633" s="320"/>
      <c r="K1633" s="320"/>
      <c r="L1633" s="320"/>
      <c r="M1633" s="320"/>
      <c r="N1633" s="320"/>
      <c r="O1633" s="321"/>
      <c r="P1633" s="321"/>
      <c r="Y1633" s="326"/>
      <c r="Z1633" s="326"/>
      <c r="AA1633" s="326"/>
      <c r="AB1633" s="326"/>
      <c r="AC1633" s="326"/>
      <c r="AG1633" s="326"/>
      <c r="AH1633" s="326"/>
      <c r="AI1633" s="326"/>
      <c r="AL1633" s="326"/>
      <c r="AM1633" s="326"/>
      <c r="AN1633" s="326"/>
    </row>
    <row r="1634" spans="1:40" x14ac:dyDescent="0.15">
      <c r="A1634" s="327"/>
      <c r="B1634" s="320"/>
      <c r="C1634" s="320"/>
      <c r="D1634" s="320"/>
      <c r="E1634" s="320"/>
      <c r="F1634" s="320"/>
      <c r="G1634" s="320"/>
      <c r="H1634" s="320"/>
      <c r="I1634" s="320"/>
      <c r="J1634" s="320"/>
      <c r="K1634" s="320"/>
      <c r="L1634" s="320"/>
      <c r="M1634" s="320"/>
      <c r="N1634" s="320"/>
      <c r="O1634" s="321"/>
      <c r="P1634" s="321"/>
      <c r="Y1634" s="326"/>
      <c r="Z1634" s="326"/>
      <c r="AA1634" s="326"/>
      <c r="AB1634" s="326"/>
      <c r="AC1634" s="326"/>
      <c r="AG1634" s="326"/>
      <c r="AH1634" s="326"/>
      <c r="AI1634" s="326"/>
      <c r="AL1634" s="326"/>
      <c r="AM1634" s="326"/>
      <c r="AN1634" s="326"/>
    </row>
    <row r="1635" spans="1:40" x14ac:dyDescent="0.15">
      <c r="A1635" s="327"/>
      <c r="B1635" s="320"/>
      <c r="C1635" s="320"/>
      <c r="D1635" s="320"/>
      <c r="E1635" s="320"/>
      <c r="F1635" s="320"/>
      <c r="G1635" s="320"/>
      <c r="H1635" s="320"/>
      <c r="I1635" s="320"/>
      <c r="J1635" s="320"/>
      <c r="K1635" s="320"/>
      <c r="L1635" s="320"/>
      <c r="M1635" s="320"/>
      <c r="N1635" s="320"/>
      <c r="O1635" s="321"/>
      <c r="P1635" s="321"/>
      <c r="Y1635" s="326"/>
      <c r="Z1635" s="326"/>
      <c r="AA1635" s="326"/>
      <c r="AB1635" s="326"/>
      <c r="AC1635" s="326"/>
      <c r="AG1635" s="326"/>
      <c r="AH1635" s="326"/>
      <c r="AI1635" s="326"/>
      <c r="AL1635" s="326"/>
      <c r="AM1635" s="326"/>
      <c r="AN1635" s="326"/>
    </row>
    <row r="1636" spans="1:40" x14ac:dyDescent="0.15">
      <c r="A1636" s="327"/>
      <c r="B1636" s="320"/>
      <c r="C1636" s="320"/>
      <c r="D1636" s="320"/>
      <c r="E1636" s="320"/>
      <c r="F1636" s="320"/>
      <c r="G1636" s="320"/>
      <c r="H1636" s="320"/>
      <c r="I1636" s="320"/>
      <c r="J1636" s="320"/>
      <c r="K1636" s="320"/>
      <c r="L1636" s="320"/>
      <c r="M1636" s="320"/>
      <c r="N1636" s="320"/>
      <c r="O1636" s="321"/>
      <c r="P1636" s="321"/>
      <c r="Y1636" s="326"/>
      <c r="Z1636" s="326"/>
      <c r="AA1636" s="326"/>
      <c r="AB1636" s="326"/>
      <c r="AC1636" s="326"/>
      <c r="AG1636" s="326"/>
      <c r="AH1636" s="326"/>
      <c r="AI1636" s="326"/>
      <c r="AL1636" s="326"/>
      <c r="AM1636" s="326"/>
      <c r="AN1636" s="326"/>
    </row>
    <row r="1637" spans="1:40" x14ac:dyDescent="0.15">
      <c r="A1637" s="327"/>
      <c r="B1637" s="320"/>
      <c r="C1637" s="320"/>
      <c r="D1637" s="320"/>
      <c r="E1637" s="320"/>
      <c r="F1637" s="320"/>
      <c r="G1637" s="320"/>
      <c r="H1637" s="320"/>
      <c r="I1637" s="320"/>
      <c r="J1637" s="320"/>
      <c r="K1637" s="320"/>
      <c r="L1637" s="320"/>
      <c r="M1637" s="320"/>
      <c r="N1637" s="320"/>
      <c r="O1637" s="321"/>
      <c r="P1637" s="321"/>
      <c r="Y1637" s="326"/>
      <c r="Z1637" s="326"/>
      <c r="AA1637" s="326"/>
      <c r="AB1637" s="326"/>
      <c r="AC1637" s="326"/>
      <c r="AG1637" s="326"/>
      <c r="AH1637" s="326"/>
      <c r="AI1637" s="326"/>
      <c r="AL1637" s="326"/>
      <c r="AM1637" s="326"/>
      <c r="AN1637" s="326"/>
    </row>
    <row r="1638" spans="1:40" x14ac:dyDescent="0.15">
      <c r="A1638" s="327"/>
      <c r="B1638" s="320"/>
      <c r="C1638" s="320"/>
      <c r="D1638" s="320"/>
      <c r="E1638" s="320"/>
      <c r="F1638" s="320"/>
      <c r="G1638" s="320"/>
      <c r="H1638" s="320"/>
      <c r="I1638" s="320"/>
      <c r="J1638" s="320"/>
      <c r="K1638" s="320"/>
      <c r="L1638" s="320"/>
      <c r="M1638" s="320"/>
      <c r="N1638" s="320"/>
      <c r="O1638" s="321"/>
      <c r="P1638" s="321"/>
      <c r="Y1638" s="326"/>
      <c r="Z1638" s="326"/>
      <c r="AA1638" s="326"/>
      <c r="AB1638" s="326"/>
      <c r="AC1638" s="326"/>
      <c r="AG1638" s="326"/>
      <c r="AH1638" s="326"/>
      <c r="AI1638" s="326"/>
      <c r="AL1638" s="326"/>
      <c r="AM1638" s="326"/>
      <c r="AN1638" s="326"/>
    </row>
    <row r="1639" spans="1:40" x14ac:dyDescent="0.15">
      <c r="A1639" s="327"/>
      <c r="B1639" s="320"/>
      <c r="C1639" s="320"/>
      <c r="D1639" s="320"/>
      <c r="E1639" s="320"/>
      <c r="F1639" s="320"/>
      <c r="G1639" s="320"/>
      <c r="H1639" s="320"/>
      <c r="I1639" s="320"/>
      <c r="J1639" s="320"/>
      <c r="K1639" s="320"/>
      <c r="L1639" s="320"/>
      <c r="M1639" s="320"/>
      <c r="N1639" s="320"/>
      <c r="O1639" s="321"/>
      <c r="P1639" s="321"/>
      <c r="Y1639" s="326"/>
      <c r="Z1639" s="326"/>
      <c r="AA1639" s="326"/>
      <c r="AB1639" s="326"/>
      <c r="AC1639" s="326"/>
      <c r="AG1639" s="326"/>
      <c r="AH1639" s="326"/>
      <c r="AI1639" s="326"/>
      <c r="AL1639" s="326"/>
      <c r="AM1639" s="326"/>
      <c r="AN1639" s="326"/>
    </row>
    <row r="1640" spans="1:40" x14ac:dyDescent="0.15">
      <c r="A1640" s="327"/>
      <c r="B1640" s="320"/>
      <c r="C1640" s="320"/>
      <c r="D1640" s="320"/>
      <c r="E1640" s="320"/>
      <c r="F1640" s="320"/>
      <c r="G1640" s="320"/>
      <c r="H1640" s="320"/>
      <c r="I1640" s="320"/>
      <c r="J1640" s="320"/>
      <c r="K1640" s="320"/>
      <c r="L1640" s="320"/>
      <c r="M1640" s="320"/>
      <c r="N1640" s="320"/>
      <c r="O1640" s="321"/>
      <c r="P1640" s="321"/>
      <c r="Y1640" s="326"/>
      <c r="Z1640" s="326"/>
      <c r="AA1640" s="326"/>
      <c r="AB1640" s="326"/>
      <c r="AC1640" s="326"/>
      <c r="AG1640" s="326"/>
      <c r="AH1640" s="326"/>
      <c r="AI1640" s="326"/>
      <c r="AL1640" s="326"/>
      <c r="AM1640" s="326"/>
      <c r="AN1640" s="326"/>
    </row>
    <row r="1641" spans="1:40" x14ac:dyDescent="0.15">
      <c r="A1641" s="327"/>
      <c r="B1641" s="320"/>
      <c r="C1641" s="320"/>
      <c r="D1641" s="320"/>
      <c r="E1641" s="320"/>
      <c r="F1641" s="320"/>
      <c r="G1641" s="320"/>
      <c r="H1641" s="320"/>
      <c r="I1641" s="320"/>
      <c r="J1641" s="320"/>
      <c r="K1641" s="320"/>
      <c r="L1641" s="320"/>
      <c r="M1641" s="320"/>
      <c r="N1641" s="320"/>
      <c r="O1641" s="321"/>
      <c r="P1641" s="321"/>
      <c r="Y1641" s="326"/>
      <c r="Z1641" s="326"/>
      <c r="AA1641" s="326"/>
      <c r="AB1641" s="326"/>
      <c r="AC1641" s="326"/>
      <c r="AG1641" s="326"/>
      <c r="AH1641" s="326"/>
      <c r="AI1641" s="326"/>
      <c r="AL1641" s="326"/>
      <c r="AM1641" s="326"/>
      <c r="AN1641" s="326"/>
    </row>
    <row r="1642" spans="1:40" x14ac:dyDescent="0.15">
      <c r="A1642" s="327"/>
      <c r="B1642" s="320"/>
      <c r="C1642" s="320"/>
      <c r="D1642" s="320"/>
      <c r="E1642" s="320"/>
      <c r="F1642" s="320"/>
      <c r="G1642" s="320"/>
      <c r="H1642" s="320"/>
      <c r="I1642" s="320"/>
      <c r="J1642" s="320"/>
      <c r="K1642" s="320"/>
      <c r="L1642" s="320"/>
      <c r="M1642" s="320"/>
      <c r="N1642" s="320"/>
      <c r="O1642" s="321"/>
      <c r="P1642" s="321"/>
      <c r="Y1642" s="326"/>
      <c r="Z1642" s="326"/>
      <c r="AA1642" s="326"/>
      <c r="AB1642" s="326"/>
      <c r="AC1642" s="326"/>
      <c r="AG1642" s="326"/>
      <c r="AH1642" s="326"/>
      <c r="AI1642" s="326"/>
      <c r="AL1642" s="326"/>
      <c r="AM1642" s="326"/>
      <c r="AN1642" s="326"/>
    </row>
    <row r="1643" spans="1:40" x14ac:dyDescent="0.15">
      <c r="A1643" s="327"/>
      <c r="B1643" s="320"/>
      <c r="C1643" s="320"/>
      <c r="D1643" s="320"/>
      <c r="E1643" s="320"/>
      <c r="F1643" s="320"/>
      <c r="G1643" s="320"/>
      <c r="H1643" s="320"/>
      <c r="I1643" s="320"/>
      <c r="J1643" s="320"/>
      <c r="K1643" s="320"/>
      <c r="L1643" s="320"/>
      <c r="M1643" s="320"/>
      <c r="N1643" s="320"/>
      <c r="O1643" s="321"/>
      <c r="P1643" s="321"/>
      <c r="Y1643" s="326"/>
      <c r="Z1643" s="326"/>
      <c r="AA1643" s="326"/>
      <c r="AB1643" s="326"/>
      <c r="AC1643" s="326"/>
      <c r="AG1643" s="326"/>
      <c r="AH1643" s="326"/>
      <c r="AI1643" s="326"/>
      <c r="AL1643" s="326"/>
      <c r="AM1643" s="326"/>
      <c r="AN1643" s="326"/>
    </row>
    <row r="1644" spans="1:40" x14ac:dyDescent="0.15">
      <c r="A1644" s="327"/>
      <c r="B1644" s="320"/>
      <c r="C1644" s="320"/>
      <c r="D1644" s="320"/>
      <c r="E1644" s="320"/>
      <c r="F1644" s="320"/>
      <c r="G1644" s="320"/>
      <c r="H1644" s="320"/>
      <c r="I1644" s="320"/>
      <c r="J1644" s="320"/>
      <c r="K1644" s="320"/>
      <c r="L1644" s="320"/>
      <c r="M1644" s="320"/>
      <c r="N1644" s="320"/>
      <c r="O1644" s="321"/>
      <c r="P1644" s="321"/>
      <c r="Y1644" s="326"/>
      <c r="Z1644" s="326"/>
      <c r="AA1644" s="326"/>
      <c r="AB1644" s="326"/>
      <c r="AC1644" s="326"/>
      <c r="AG1644" s="326"/>
      <c r="AH1644" s="326"/>
      <c r="AI1644" s="326"/>
      <c r="AL1644" s="326"/>
      <c r="AM1644" s="326"/>
      <c r="AN1644" s="326"/>
    </row>
    <row r="1645" spans="1:40" x14ac:dyDescent="0.15">
      <c r="A1645" s="327"/>
      <c r="B1645" s="320"/>
      <c r="C1645" s="320"/>
      <c r="D1645" s="320"/>
      <c r="E1645" s="320"/>
      <c r="F1645" s="320"/>
      <c r="G1645" s="320"/>
      <c r="H1645" s="320"/>
      <c r="I1645" s="320"/>
      <c r="J1645" s="320"/>
      <c r="K1645" s="320"/>
      <c r="L1645" s="320"/>
      <c r="M1645" s="320"/>
      <c r="N1645" s="320"/>
      <c r="O1645" s="321"/>
      <c r="P1645" s="321"/>
      <c r="Y1645" s="326"/>
      <c r="Z1645" s="326"/>
      <c r="AA1645" s="326"/>
      <c r="AB1645" s="326"/>
      <c r="AC1645" s="326"/>
      <c r="AG1645" s="326"/>
      <c r="AH1645" s="326"/>
      <c r="AI1645" s="326"/>
      <c r="AL1645" s="326"/>
      <c r="AM1645" s="326"/>
      <c r="AN1645" s="326"/>
    </row>
    <row r="1646" spans="1:40" x14ac:dyDescent="0.15">
      <c r="A1646" s="327"/>
      <c r="B1646" s="320"/>
      <c r="C1646" s="320"/>
      <c r="D1646" s="320"/>
      <c r="E1646" s="320"/>
      <c r="F1646" s="320"/>
      <c r="G1646" s="320"/>
      <c r="H1646" s="320"/>
      <c r="I1646" s="320"/>
      <c r="J1646" s="320"/>
      <c r="K1646" s="320"/>
      <c r="L1646" s="320"/>
      <c r="M1646" s="320"/>
      <c r="N1646" s="320"/>
      <c r="O1646" s="321"/>
      <c r="P1646" s="321"/>
      <c r="Y1646" s="326"/>
      <c r="Z1646" s="326"/>
      <c r="AA1646" s="326"/>
      <c r="AB1646" s="326"/>
      <c r="AC1646" s="326"/>
      <c r="AG1646" s="326"/>
      <c r="AH1646" s="326"/>
      <c r="AI1646" s="326"/>
      <c r="AL1646" s="326"/>
      <c r="AM1646" s="326"/>
      <c r="AN1646" s="326"/>
    </row>
    <row r="1647" spans="1:40" x14ac:dyDescent="0.15">
      <c r="A1647" s="327"/>
      <c r="B1647" s="320"/>
      <c r="C1647" s="320"/>
      <c r="D1647" s="320"/>
      <c r="E1647" s="320"/>
      <c r="F1647" s="320"/>
      <c r="G1647" s="320"/>
      <c r="H1647" s="320"/>
      <c r="I1647" s="320"/>
      <c r="J1647" s="320"/>
      <c r="K1647" s="320"/>
      <c r="L1647" s="320"/>
      <c r="M1647" s="320"/>
      <c r="N1647" s="320"/>
      <c r="O1647" s="321"/>
      <c r="P1647" s="321"/>
      <c r="Y1647" s="326"/>
      <c r="Z1647" s="326"/>
      <c r="AA1647" s="326"/>
      <c r="AB1647" s="326"/>
      <c r="AC1647" s="326"/>
      <c r="AG1647" s="326"/>
      <c r="AH1647" s="326"/>
      <c r="AI1647" s="326"/>
      <c r="AL1647" s="326"/>
      <c r="AM1647" s="326"/>
      <c r="AN1647" s="326"/>
    </row>
    <row r="1648" spans="1:40" x14ac:dyDescent="0.15">
      <c r="A1648" s="327"/>
      <c r="B1648" s="320"/>
      <c r="C1648" s="320"/>
      <c r="D1648" s="320"/>
      <c r="E1648" s="320"/>
      <c r="F1648" s="320"/>
      <c r="G1648" s="320"/>
      <c r="H1648" s="320"/>
      <c r="I1648" s="320"/>
      <c r="J1648" s="320"/>
      <c r="K1648" s="320"/>
      <c r="L1648" s="320"/>
      <c r="M1648" s="320"/>
      <c r="N1648" s="320"/>
      <c r="O1648" s="321"/>
      <c r="P1648" s="321"/>
      <c r="Y1648" s="326"/>
      <c r="Z1648" s="326"/>
      <c r="AA1648" s="326"/>
      <c r="AB1648" s="326"/>
      <c r="AC1648" s="326"/>
      <c r="AG1648" s="326"/>
      <c r="AH1648" s="326"/>
      <c r="AI1648" s="326"/>
      <c r="AL1648" s="326"/>
      <c r="AM1648" s="326"/>
      <c r="AN1648" s="326"/>
    </row>
    <row r="1649" spans="1:40" x14ac:dyDescent="0.15">
      <c r="A1649" s="327"/>
      <c r="B1649" s="320"/>
      <c r="C1649" s="320"/>
      <c r="D1649" s="320"/>
      <c r="E1649" s="320"/>
      <c r="F1649" s="320"/>
      <c r="G1649" s="320"/>
      <c r="H1649" s="320"/>
      <c r="I1649" s="320"/>
      <c r="J1649" s="320"/>
      <c r="K1649" s="320"/>
      <c r="L1649" s="320"/>
      <c r="M1649" s="320"/>
      <c r="N1649" s="320"/>
      <c r="O1649" s="321"/>
      <c r="P1649" s="321"/>
      <c r="Y1649" s="326"/>
      <c r="Z1649" s="326"/>
      <c r="AA1649" s="326"/>
      <c r="AB1649" s="326"/>
      <c r="AC1649" s="326"/>
      <c r="AG1649" s="326"/>
      <c r="AH1649" s="326"/>
      <c r="AI1649" s="326"/>
      <c r="AL1649" s="326"/>
      <c r="AM1649" s="326"/>
      <c r="AN1649" s="326"/>
    </row>
    <row r="1650" spans="1:40" x14ac:dyDescent="0.15">
      <c r="A1650" s="327"/>
      <c r="B1650" s="320"/>
      <c r="C1650" s="320"/>
      <c r="D1650" s="320"/>
      <c r="E1650" s="320"/>
      <c r="F1650" s="320"/>
      <c r="G1650" s="320"/>
      <c r="H1650" s="320"/>
      <c r="I1650" s="320"/>
      <c r="J1650" s="320"/>
      <c r="K1650" s="320"/>
      <c r="L1650" s="320"/>
      <c r="M1650" s="320"/>
      <c r="N1650" s="320"/>
      <c r="O1650" s="321"/>
      <c r="P1650" s="321"/>
      <c r="Y1650" s="326"/>
      <c r="Z1650" s="326"/>
      <c r="AA1650" s="326"/>
      <c r="AB1650" s="326"/>
      <c r="AC1650" s="326"/>
      <c r="AG1650" s="326"/>
      <c r="AH1650" s="326"/>
      <c r="AI1650" s="326"/>
      <c r="AL1650" s="326"/>
      <c r="AM1650" s="326"/>
      <c r="AN1650" s="326"/>
    </row>
    <row r="1651" spans="1:40" x14ac:dyDescent="0.15">
      <c r="A1651" s="327"/>
      <c r="B1651" s="320"/>
      <c r="C1651" s="320"/>
      <c r="D1651" s="320"/>
      <c r="E1651" s="320"/>
      <c r="F1651" s="320"/>
      <c r="G1651" s="320"/>
      <c r="H1651" s="320"/>
      <c r="I1651" s="320"/>
      <c r="J1651" s="320"/>
      <c r="K1651" s="320"/>
      <c r="L1651" s="320"/>
      <c r="M1651" s="320"/>
      <c r="N1651" s="320"/>
      <c r="O1651" s="321"/>
      <c r="P1651" s="321"/>
      <c r="Y1651" s="326"/>
      <c r="Z1651" s="326"/>
      <c r="AA1651" s="326"/>
      <c r="AB1651" s="326"/>
      <c r="AC1651" s="326"/>
      <c r="AG1651" s="326"/>
      <c r="AH1651" s="326"/>
      <c r="AI1651" s="326"/>
      <c r="AL1651" s="326"/>
      <c r="AM1651" s="326"/>
      <c r="AN1651" s="326"/>
    </row>
    <row r="1652" spans="1:40" x14ac:dyDescent="0.15">
      <c r="A1652" s="327"/>
      <c r="B1652" s="320"/>
      <c r="C1652" s="320"/>
      <c r="D1652" s="320"/>
      <c r="E1652" s="320"/>
      <c r="F1652" s="320"/>
      <c r="G1652" s="320"/>
      <c r="H1652" s="320"/>
      <c r="I1652" s="320"/>
      <c r="J1652" s="320"/>
      <c r="K1652" s="320"/>
      <c r="L1652" s="320"/>
      <c r="M1652" s="320"/>
      <c r="N1652" s="320"/>
      <c r="O1652" s="321"/>
      <c r="P1652" s="321"/>
      <c r="Y1652" s="326"/>
      <c r="Z1652" s="326"/>
      <c r="AA1652" s="326"/>
      <c r="AB1652" s="326"/>
      <c r="AC1652" s="326"/>
      <c r="AG1652" s="326"/>
      <c r="AH1652" s="326"/>
      <c r="AI1652" s="326"/>
      <c r="AL1652" s="326"/>
      <c r="AM1652" s="326"/>
      <c r="AN1652" s="326"/>
    </row>
    <row r="1653" spans="1:40" x14ac:dyDescent="0.15">
      <c r="A1653" s="327"/>
      <c r="B1653" s="320"/>
      <c r="C1653" s="320"/>
      <c r="D1653" s="320"/>
      <c r="E1653" s="320"/>
      <c r="F1653" s="320"/>
      <c r="G1653" s="320"/>
      <c r="H1653" s="320"/>
      <c r="I1653" s="320"/>
      <c r="J1653" s="320"/>
      <c r="K1653" s="320"/>
      <c r="L1653" s="320"/>
      <c r="M1653" s="320"/>
      <c r="N1653" s="320"/>
      <c r="O1653" s="321"/>
      <c r="P1653" s="321"/>
      <c r="Y1653" s="326"/>
      <c r="Z1653" s="326"/>
      <c r="AA1653" s="326"/>
      <c r="AB1653" s="326"/>
      <c r="AC1653" s="326"/>
      <c r="AG1653" s="326"/>
      <c r="AH1653" s="326"/>
      <c r="AI1653" s="326"/>
      <c r="AL1653" s="326"/>
      <c r="AM1653" s="326"/>
      <c r="AN1653" s="326"/>
    </row>
    <row r="1654" spans="1:40" x14ac:dyDescent="0.15">
      <c r="A1654" s="327"/>
      <c r="B1654" s="320"/>
      <c r="C1654" s="320"/>
      <c r="D1654" s="320"/>
      <c r="E1654" s="320"/>
      <c r="F1654" s="320"/>
      <c r="G1654" s="320"/>
      <c r="H1654" s="320"/>
      <c r="I1654" s="320"/>
      <c r="J1654" s="320"/>
      <c r="K1654" s="320"/>
      <c r="L1654" s="320"/>
      <c r="M1654" s="320"/>
      <c r="N1654" s="320"/>
      <c r="O1654" s="321"/>
      <c r="P1654" s="321"/>
      <c r="Y1654" s="326"/>
      <c r="Z1654" s="326"/>
      <c r="AA1654" s="326"/>
      <c r="AB1654" s="326"/>
      <c r="AC1654" s="326"/>
      <c r="AG1654" s="326"/>
      <c r="AH1654" s="326"/>
      <c r="AI1654" s="326"/>
      <c r="AL1654" s="326"/>
      <c r="AM1654" s="326"/>
      <c r="AN1654" s="326"/>
    </row>
    <row r="1655" spans="1:40" x14ac:dyDescent="0.15">
      <c r="A1655" s="327"/>
      <c r="B1655" s="320"/>
      <c r="C1655" s="320"/>
      <c r="D1655" s="320"/>
      <c r="E1655" s="320"/>
      <c r="F1655" s="320"/>
      <c r="G1655" s="320"/>
      <c r="H1655" s="320"/>
      <c r="I1655" s="320"/>
      <c r="J1655" s="320"/>
      <c r="K1655" s="320"/>
      <c r="L1655" s="320"/>
      <c r="M1655" s="320"/>
      <c r="N1655" s="320"/>
      <c r="O1655" s="321"/>
      <c r="P1655" s="321"/>
      <c r="Y1655" s="326"/>
      <c r="Z1655" s="326"/>
      <c r="AA1655" s="326"/>
      <c r="AB1655" s="326"/>
      <c r="AC1655" s="326"/>
      <c r="AG1655" s="326"/>
      <c r="AH1655" s="326"/>
      <c r="AI1655" s="326"/>
      <c r="AL1655" s="326"/>
      <c r="AM1655" s="326"/>
      <c r="AN1655" s="326"/>
    </row>
    <row r="1656" spans="1:40" x14ac:dyDescent="0.15">
      <c r="A1656" s="327"/>
      <c r="B1656" s="320"/>
      <c r="C1656" s="320"/>
      <c r="D1656" s="320"/>
      <c r="E1656" s="320"/>
      <c r="F1656" s="320"/>
      <c r="G1656" s="320"/>
      <c r="H1656" s="320"/>
      <c r="I1656" s="320"/>
      <c r="J1656" s="320"/>
      <c r="K1656" s="320"/>
      <c r="L1656" s="320"/>
      <c r="M1656" s="320"/>
      <c r="N1656" s="320"/>
      <c r="O1656" s="321"/>
      <c r="P1656" s="321"/>
      <c r="Y1656" s="326"/>
      <c r="Z1656" s="326"/>
      <c r="AA1656" s="326"/>
      <c r="AB1656" s="326"/>
      <c r="AC1656" s="326"/>
      <c r="AG1656" s="326"/>
      <c r="AH1656" s="326"/>
      <c r="AI1656" s="326"/>
      <c r="AL1656" s="326"/>
      <c r="AM1656" s="326"/>
      <c r="AN1656" s="326"/>
    </row>
    <row r="1657" spans="1:40" x14ac:dyDescent="0.15">
      <c r="A1657" s="327"/>
      <c r="B1657" s="320"/>
      <c r="C1657" s="320"/>
      <c r="D1657" s="320"/>
      <c r="E1657" s="320"/>
      <c r="F1657" s="320"/>
      <c r="G1657" s="320"/>
      <c r="H1657" s="320"/>
      <c r="I1657" s="320"/>
      <c r="J1657" s="320"/>
      <c r="K1657" s="320"/>
      <c r="L1657" s="320"/>
      <c r="M1657" s="320"/>
      <c r="N1657" s="320"/>
      <c r="O1657" s="321"/>
      <c r="P1657" s="321"/>
      <c r="Y1657" s="326"/>
      <c r="Z1657" s="326"/>
      <c r="AA1657" s="326"/>
      <c r="AB1657" s="326"/>
      <c r="AC1657" s="326"/>
      <c r="AG1657" s="326"/>
      <c r="AH1657" s="326"/>
      <c r="AI1657" s="326"/>
      <c r="AL1657" s="326"/>
      <c r="AM1657" s="326"/>
      <c r="AN1657" s="326"/>
    </row>
    <row r="1658" spans="1:40" x14ac:dyDescent="0.15">
      <c r="A1658" s="327"/>
      <c r="B1658" s="320"/>
      <c r="C1658" s="320"/>
      <c r="D1658" s="320"/>
      <c r="E1658" s="320"/>
      <c r="F1658" s="320"/>
      <c r="G1658" s="320"/>
      <c r="H1658" s="320"/>
      <c r="I1658" s="320"/>
      <c r="J1658" s="320"/>
      <c r="K1658" s="320"/>
      <c r="L1658" s="320"/>
      <c r="M1658" s="320"/>
      <c r="N1658" s="320"/>
      <c r="O1658" s="321"/>
      <c r="P1658" s="321"/>
      <c r="Y1658" s="326"/>
      <c r="Z1658" s="326"/>
      <c r="AA1658" s="326"/>
      <c r="AB1658" s="326"/>
      <c r="AC1658" s="326"/>
      <c r="AG1658" s="326"/>
      <c r="AH1658" s="326"/>
      <c r="AI1658" s="326"/>
      <c r="AL1658" s="326"/>
      <c r="AM1658" s="326"/>
      <c r="AN1658" s="326"/>
    </row>
    <row r="1659" spans="1:40" x14ac:dyDescent="0.15">
      <c r="A1659" s="327"/>
      <c r="B1659" s="320"/>
      <c r="C1659" s="320"/>
      <c r="D1659" s="320"/>
      <c r="E1659" s="320"/>
      <c r="F1659" s="320"/>
      <c r="G1659" s="320"/>
      <c r="H1659" s="320"/>
      <c r="I1659" s="320"/>
      <c r="J1659" s="320"/>
      <c r="K1659" s="320"/>
      <c r="L1659" s="320"/>
      <c r="M1659" s="320"/>
      <c r="N1659" s="320"/>
      <c r="O1659" s="321"/>
      <c r="P1659" s="321"/>
      <c r="Y1659" s="326"/>
      <c r="Z1659" s="326"/>
      <c r="AA1659" s="326"/>
      <c r="AB1659" s="326"/>
      <c r="AC1659" s="326"/>
      <c r="AG1659" s="326"/>
      <c r="AH1659" s="326"/>
      <c r="AI1659" s="326"/>
      <c r="AL1659" s="326"/>
      <c r="AM1659" s="326"/>
      <c r="AN1659" s="326"/>
    </row>
    <row r="1660" spans="1:40" x14ac:dyDescent="0.15">
      <c r="A1660" s="327"/>
      <c r="B1660" s="320"/>
      <c r="C1660" s="320"/>
      <c r="D1660" s="320"/>
      <c r="E1660" s="320"/>
      <c r="F1660" s="320"/>
      <c r="G1660" s="320"/>
      <c r="H1660" s="320"/>
      <c r="I1660" s="320"/>
      <c r="J1660" s="320"/>
      <c r="K1660" s="320"/>
      <c r="L1660" s="320"/>
      <c r="M1660" s="320"/>
      <c r="N1660" s="320"/>
      <c r="O1660" s="321"/>
      <c r="P1660" s="321"/>
      <c r="Y1660" s="326"/>
      <c r="Z1660" s="326"/>
      <c r="AA1660" s="326"/>
      <c r="AB1660" s="326"/>
      <c r="AC1660" s="326"/>
      <c r="AG1660" s="326"/>
      <c r="AH1660" s="326"/>
      <c r="AI1660" s="326"/>
      <c r="AL1660" s="326"/>
      <c r="AM1660" s="326"/>
      <c r="AN1660" s="326"/>
    </row>
    <row r="1661" spans="1:40" x14ac:dyDescent="0.15">
      <c r="A1661" s="327"/>
      <c r="B1661" s="320"/>
      <c r="C1661" s="320"/>
      <c r="D1661" s="320"/>
      <c r="E1661" s="320"/>
      <c r="F1661" s="320"/>
      <c r="G1661" s="320"/>
      <c r="H1661" s="320"/>
      <c r="I1661" s="320"/>
      <c r="J1661" s="320"/>
      <c r="K1661" s="320"/>
      <c r="L1661" s="320"/>
      <c r="M1661" s="320"/>
      <c r="N1661" s="320"/>
      <c r="O1661" s="321"/>
      <c r="P1661" s="321"/>
      <c r="Y1661" s="326"/>
      <c r="Z1661" s="326"/>
      <c r="AA1661" s="326"/>
      <c r="AB1661" s="326"/>
      <c r="AC1661" s="326"/>
      <c r="AG1661" s="326"/>
      <c r="AH1661" s="326"/>
      <c r="AI1661" s="326"/>
      <c r="AL1661" s="326"/>
      <c r="AM1661" s="326"/>
      <c r="AN1661" s="326"/>
    </row>
    <row r="1662" spans="1:40" x14ac:dyDescent="0.15">
      <c r="A1662" s="327"/>
      <c r="B1662" s="320"/>
      <c r="C1662" s="320"/>
      <c r="D1662" s="320"/>
      <c r="E1662" s="320"/>
      <c r="F1662" s="320"/>
      <c r="G1662" s="320"/>
      <c r="H1662" s="320"/>
      <c r="I1662" s="320"/>
      <c r="J1662" s="320"/>
      <c r="K1662" s="320"/>
      <c r="L1662" s="320"/>
      <c r="M1662" s="320"/>
      <c r="N1662" s="320"/>
      <c r="O1662" s="321"/>
      <c r="P1662" s="321"/>
      <c r="Y1662" s="326"/>
      <c r="Z1662" s="326"/>
      <c r="AA1662" s="326"/>
      <c r="AB1662" s="326"/>
      <c r="AC1662" s="326"/>
      <c r="AG1662" s="326"/>
      <c r="AH1662" s="326"/>
      <c r="AI1662" s="326"/>
      <c r="AL1662" s="326"/>
      <c r="AM1662" s="326"/>
      <c r="AN1662" s="326"/>
    </row>
    <row r="1663" spans="1:40" x14ac:dyDescent="0.15">
      <c r="A1663" s="327"/>
      <c r="B1663" s="320"/>
      <c r="C1663" s="320"/>
      <c r="D1663" s="320"/>
      <c r="E1663" s="320"/>
      <c r="F1663" s="320"/>
      <c r="G1663" s="320"/>
      <c r="H1663" s="320"/>
      <c r="I1663" s="320"/>
      <c r="J1663" s="320"/>
      <c r="K1663" s="320"/>
      <c r="L1663" s="320"/>
      <c r="M1663" s="320"/>
      <c r="N1663" s="320"/>
      <c r="O1663" s="321"/>
      <c r="P1663" s="321"/>
      <c r="Y1663" s="326"/>
      <c r="Z1663" s="326"/>
      <c r="AA1663" s="326"/>
      <c r="AB1663" s="326"/>
      <c r="AC1663" s="326"/>
      <c r="AG1663" s="326"/>
      <c r="AH1663" s="326"/>
      <c r="AI1663" s="326"/>
      <c r="AL1663" s="326"/>
      <c r="AM1663" s="326"/>
      <c r="AN1663" s="326"/>
    </row>
    <row r="1664" spans="1:40" x14ac:dyDescent="0.15">
      <c r="A1664" s="327"/>
      <c r="B1664" s="320"/>
      <c r="C1664" s="320"/>
      <c r="D1664" s="320"/>
      <c r="E1664" s="320"/>
      <c r="F1664" s="320"/>
      <c r="G1664" s="320"/>
      <c r="H1664" s="320"/>
      <c r="I1664" s="320"/>
      <c r="J1664" s="320"/>
      <c r="K1664" s="320"/>
      <c r="L1664" s="320"/>
      <c r="M1664" s="320"/>
      <c r="N1664" s="320"/>
      <c r="O1664" s="321"/>
      <c r="P1664" s="321"/>
      <c r="Y1664" s="326"/>
      <c r="Z1664" s="326"/>
      <c r="AA1664" s="326"/>
      <c r="AB1664" s="326"/>
      <c r="AC1664" s="326"/>
      <c r="AG1664" s="326"/>
      <c r="AH1664" s="326"/>
      <c r="AI1664" s="326"/>
      <c r="AL1664" s="326"/>
      <c r="AM1664" s="326"/>
      <c r="AN1664" s="326"/>
    </row>
    <row r="1665" spans="1:40" x14ac:dyDescent="0.15">
      <c r="A1665" s="327"/>
      <c r="B1665" s="320"/>
      <c r="C1665" s="320"/>
      <c r="D1665" s="320"/>
      <c r="E1665" s="320"/>
      <c r="F1665" s="320"/>
      <c r="G1665" s="320"/>
      <c r="H1665" s="320"/>
      <c r="I1665" s="320"/>
      <c r="J1665" s="320"/>
      <c r="K1665" s="320"/>
      <c r="L1665" s="320"/>
      <c r="M1665" s="320"/>
      <c r="N1665" s="320"/>
      <c r="O1665" s="321"/>
      <c r="P1665" s="321"/>
      <c r="Y1665" s="326"/>
      <c r="Z1665" s="326"/>
      <c r="AA1665" s="326"/>
      <c r="AB1665" s="326"/>
      <c r="AC1665" s="326"/>
      <c r="AG1665" s="326"/>
      <c r="AH1665" s="326"/>
      <c r="AI1665" s="326"/>
      <c r="AL1665" s="326"/>
      <c r="AM1665" s="326"/>
      <c r="AN1665" s="326"/>
    </row>
    <row r="1666" spans="1:40" x14ac:dyDescent="0.15">
      <c r="A1666" s="327"/>
      <c r="B1666" s="320"/>
      <c r="C1666" s="320"/>
      <c r="D1666" s="320"/>
      <c r="E1666" s="320"/>
      <c r="F1666" s="320"/>
      <c r="G1666" s="320"/>
      <c r="H1666" s="320"/>
      <c r="I1666" s="320"/>
      <c r="J1666" s="320"/>
      <c r="K1666" s="320"/>
      <c r="L1666" s="320"/>
      <c r="M1666" s="320"/>
      <c r="N1666" s="320"/>
      <c r="O1666" s="321"/>
      <c r="P1666" s="321"/>
    </row>
    <row r="1667" spans="1:40" x14ac:dyDescent="0.15">
      <c r="A1667" s="327"/>
      <c r="B1667" s="320"/>
      <c r="C1667" s="320"/>
      <c r="D1667" s="320"/>
      <c r="E1667" s="320"/>
      <c r="F1667" s="320"/>
      <c r="G1667" s="320"/>
      <c r="H1667" s="320"/>
      <c r="I1667" s="320"/>
      <c r="J1667" s="320"/>
      <c r="K1667" s="320"/>
      <c r="L1667" s="320"/>
      <c r="M1667" s="320"/>
      <c r="N1667" s="320"/>
      <c r="O1667" s="321"/>
      <c r="P1667" s="321"/>
    </row>
    <row r="1668" spans="1:40" x14ac:dyDescent="0.15">
      <c r="A1668" s="327"/>
      <c r="B1668" s="320"/>
      <c r="C1668" s="320"/>
      <c r="D1668" s="320"/>
      <c r="E1668" s="320"/>
      <c r="F1668" s="320"/>
      <c r="G1668" s="320"/>
      <c r="H1668" s="320"/>
      <c r="I1668" s="320"/>
      <c r="J1668" s="320"/>
      <c r="K1668" s="320"/>
      <c r="L1668" s="320"/>
      <c r="M1668" s="320"/>
      <c r="N1668" s="320"/>
      <c r="O1668" s="321"/>
      <c r="P1668" s="321"/>
    </row>
    <row r="1669" spans="1:40" x14ac:dyDescent="0.15">
      <c r="A1669" s="327"/>
      <c r="B1669" s="320"/>
      <c r="C1669" s="320"/>
      <c r="D1669" s="320"/>
      <c r="E1669" s="320"/>
      <c r="F1669" s="320"/>
      <c r="G1669" s="320"/>
      <c r="H1669" s="320"/>
      <c r="I1669" s="320"/>
      <c r="J1669" s="320"/>
      <c r="K1669" s="320"/>
      <c r="L1669" s="320"/>
      <c r="M1669" s="320"/>
      <c r="N1669" s="320"/>
      <c r="O1669" s="321"/>
      <c r="P1669" s="321"/>
    </row>
    <row r="1670" spans="1:40" x14ac:dyDescent="0.15">
      <c r="A1670" s="327"/>
      <c r="B1670" s="320"/>
      <c r="C1670" s="320"/>
      <c r="D1670" s="320"/>
      <c r="E1670" s="320"/>
      <c r="F1670" s="320"/>
      <c r="G1670" s="320"/>
      <c r="H1670" s="320"/>
      <c r="I1670" s="320"/>
      <c r="J1670" s="320"/>
      <c r="K1670" s="320"/>
      <c r="L1670" s="320"/>
      <c r="M1670" s="320"/>
      <c r="N1670" s="320"/>
      <c r="O1670" s="321"/>
      <c r="P1670" s="321"/>
    </row>
    <row r="1671" spans="1:40" x14ac:dyDescent="0.15">
      <c r="A1671" s="327"/>
      <c r="B1671" s="320"/>
      <c r="C1671" s="320"/>
      <c r="D1671" s="320"/>
      <c r="E1671" s="320"/>
      <c r="F1671" s="320"/>
      <c r="G1671" s="320"/>
      <c r="H1671" s="320"/>
      <c r="I1671" s="320"/>
      <c r="J1671" s="320"/>
      <c r="K1671" s="320"/>
      <c r="L1671" s="320"/>
      <c r="M1671" s="320"/>
      <c r="N1671" s="320"/>
      <c r="O1671" s="321"/>
      <c r="P1671" s="321"/>
    </row>
    <row r="1672" spans="1:40" x14ac:dyDescent="0.15">
      <c r="A1672" s="327"/>
      <c r="B1672" s="320"/>
      <c r="C1672" s="320"/>
      <c r="D1672" s="320"/>
      <c r="E1672" s="320"/>
      <c r="F1672" s="320"/>
      <c r="G1672" s="320"/>
      <c r="H1672" s="320"/>
      <c r="I1672" s="320"/>
      <c r="J1672" s="320"/>
      <c r="K1672" s="320"/>
      <c r="L1672" s="320"/>
      <c r="M1672" s="320"/>
      <c r="N1672" s="320"/>
      <c r="O1672" s="321"/>
      <c r="P1672" s="321"/>
    </row>
    <row r="1673" spans="1:40" x14ac:dyDescent="0.15">
      <c r="A1673" s="327"/>
      <c r="B1673" s="320"/>
      <c r="C1673" s="320"/>
      <c r="D1673" s="320"/>
      <c r="E1673" s="320"/>
      <c r="F1673" s="320"/>
      <c r="G1673" s="320"/>
      <c r="H1673" s="320"/>
      <c r="I1673" s="320"/>
      <c r="J1673" s="320"/>
      <c r="K1673" s="320"/>
      <c r="L1673" s="320"/>
      <c r="M1673" s="320"/>
      <c r="N1673" s="320"/>
      <c r="O1673" s="321"/>
      <c r="P1673" s="321"/>
    </row>
    <row r="1674" spans="1:40" x14ac:dyDescent="0.15">
      <c r="A1674" s="327"/>
      <c r="B1674" s="320"/>
      <c r="C1674" s="320"/>
      <c r="D1674" s="320"/>
      <c r="E1674" s="320"/>
      <c r="F1674" s="320"/>
      <c r="G1674" s="320"/>
      <c r="H1674" s="320"/>
      <c r="I1674" s="320"/>
      <c r="J1674" s="320"/>
      <c r="K1674" s="320"/>
      <c r="L1674" s="320"/>
      <c r="M1674" s="320"/>
      <c r="N1674" s="320"/>
      <c r="O1674" s="321"/>
      <c r="P1674" s="321"/>
    </row>
    <row r="1675" spans="1:40" x14ac:dyDescent="0.15">
      <c r="A1675" s="327"/>
      <c r="B1675" s="320"/>
      <c r="C1675" s="320"/>
      <c r="D1675" s="320"/>
      <c r="E1675" s="320"/>
      <c r="F1675" s="320"/>
      <c r="G1675" s="320"/>
      <c r="H1675" s="320"/>
      <c r="I1675" s="320"/>
      <c r="J1675" s="320"/>
      <c r="K1675" s="320"/>
      <c r="L1675" s="320"/>
      <c r="M1675" s="320"/>
      <c r="N1675" s="320"/>
      <c r="O1675" s="321"/>
      <c r="P1675" s="321"/>
    </row>
    <row r="1676" spans="1:40" x14ac:dyDescent="0.15">
      <c r="A1676" s="327"/>
      <c r="B1676" s="320"/>
      <c r="C1676" s="320"/>
      <c r="D1676" s="320"/>
      <c r="E1676" s="320"/>
      <c r="F1676" s="320"/>
      <c r="G1676" s="320"/>
      <c r="H1676" s="320"/>
      <c r="I1676" s="320"/>
      <c r="J1676" s="320"/>
      <c r="K1676" s="320"/>
      <c r="L1676" s="320"/>
      <c r="M1676" s="320"/>
      <c r="N1676" s="320"/>
      <c r="O1676" s="321"/>
      <c r="P1676" s="321"/>
    </row>
    <row r="1677" spans="1:40" x14ac:dyDescent="0.15">
      <c r="A1677" s="327"/>
      <c r="B1677" s="320"/>
      <c r="C1677" s="320"/>
      <c r="D1677" s="320"/>
      <c r="E1677" s="320"/>
      <c r="F1677" s="320"/>
      <c r="G1677" s="320"/>
      <c r="H1677" s="320"/>
      <c r="I1677" s="320"/>
      <c r="J1677" s="320"/>
      <c r="K1677" s="320"/>
      <c r="L1677" s="320"/>
      <c r="M1677" s="320"/>
      <c r="N1677" s="320"/>
      <c r="O1677" s="321"/>
      <c r="P1677" s="321"/>
    </row>
    <row r="1678" spans="1:40" x14ac:dyDescent="0.15">
      <c r="A1678" s="327"/>
      <c r="B1678" s="320"/>
      <c r="C1678" s="320"/>
      <c r="D1678" s="320"/>
      <c r="E1678" s="320"/>
      <c r="F1678" s="320"/>
      <c r="G1678" s="320"/>
      <c r="H1678" s="320"/>
      <c r="I1678" s="320"/>
      <c r="J1678" s="320"/>
      <c r="K1678" s="320"/>
      <c r="L1678" s="320"/>
      <c r="M1678" s="320"/>
      <c r="N1678" s="320"/>
      <c r="O1678" s="321"/>
      <c r="P1678" s="321"/>
    </row>
    <row r="1679" spans="1:40" x14ac:dyDescent="0.15">
      <c r="A1679" s="327"/>
      <c r="B1679" s="320"/>
      <c r="C1679" s="320"/>
      <c r="D1679" s="320"/>
      <c r="E1679" s="320"/>
      <c r="F1679" s="320"/>
      <c r="G1679" s="320"/>
      <c r="H1679" s="320"/>
      <c r="I1679" s="320"/>
      <c r="J1679" s="320"/>
      <c r="K1679" s="320"/>
      <c r="L1679" s="320"/>
      <c r="M1679" s="320"/>
      <c r="N1679" s="320"/>
      <c r="O1679" s="321"/>
      <c r="P1679" s="321"/>
    </row>
    <row r="1680" spans="1:40" x14ac:dyDescent="0.15">
      <c r="A1680" s="327"/>
      <c r="B1680" s="320"/>
      <c r="C1680" s="320"/>
      <c r="D1680" s="320"/>
      <c r="E1680" s="320"/>
      <c r="F1680" s="320"/>
      <c r="G1680" s="320"/>
      <c r="H1680" s="320"/>
      <c r="I1680" s="320"/>
      <c r="J1680" s="320"/>
      <c r="K1680" s="320"/>
      <c r="L1680" s="320"/>
      <c r="M1680" s="320"/>
      <c r="N1680" s="320"/>
      <c r="O1680" s="321"/>
      <c r="P1680" s="321"/>
    </row>
    <row r="1681" spans="1:16" x14ac:dyDescent="0.15">
      <c r="A1681" s="327"/>
      <c r="B1681" s="320"/>
      <c r="C1681" s="320"/>
      <c r="D1681" s="320"/>
      <c r="E1681" s="320"/>
      <c r="F1681" s="320"/>
      <c r="G1681" s="320"/>
      <c r="H1681" s="320"/>
      <c r="I1681" s="320"/>
      <c r="J1681" s="320"/>
      <c r="K1681" s="320"/>
      <c r="L1681" s="320"/>
      <c r="M1681" s="320"/>
      <c r="N1681" s="320"/>
      <c r="O1681" s="321"/>
      <c r="P1681" s="321"/>
    </row>
    <row r="1682" spans="1:16" x14ac:dyDescent="0.15">
      <c r="A1682" s="327"/>
      <c r="B1682" s="320"/>
      <c r="C1682" s="320"/>
      <c r="D1682" s="320"/>
      <c r="E1682" s="320"/>
      <c r="F1682" s="320"/>
      <c r="G1682" s="320"/>
      <c r="H1682" s="320"/>
      <c r="I1682" s="320"/>
      <c r="J1682" s="320"/>
      <c r="K1682" s="320"/>
      <c r="L1682" s="320"/>
      <c r="M1682" s="320"/>
      <c r="N1682" s="320"/>
      <c r="O1682" s="321"/>
      <c r="P1682" s="321"/>
    </row>
    <row r="1683" spans="1:16" x14ac:dyDescent="0.15">
      <c r="A1683" s="327"/>
      <c r="B1683" s="320"/>
      <c r="C1683" s="320"/>
      <c r="D1683" s="320"/>
      <c r="E1683" s="320"/>
      <c r="F1683" s="320"/>
      <c r="G1683" s="320"/>
      <c r="H1683" s="320"/>
      <c r="I1683" s="320"/>
      <c r="J1683" s="320"/>
      <c r="K1683" s="320"/>
      <c r="L1683" s="320"/>
      <c r="M1683" s="320"/>
      <c r="N1683" s="320"/>
      <c r="O1683" s="321"/>
      <c r="P1683" s="321"/>
    </row>
    <row r="1684" spans="1:16" x14ac:dyDescent="0.15">
      <c r="A1684" s="327"/>
      <c r="B1684" s="320"/>
      <c r="C1684" s="320"/>
      <c r="D1684" s="320"/>
      <c r="E1684" s="320"/>
      <c r="F1684" s="320"/>
      <c r="G1684" s="320"/>
      <c r="H1684" s="320"/>
      <c r="I1684" s="320"/>
      <c r="J1684" s="320"/>
      <c r="K1684" s="320"/>
      <c r="L1684" s="320"/>
      <c r="M1684" s="320"/>
      <c r="N1684" s="320"/>
      <c r="O1684" s="321"/>
      <c r="P1684" s="321"/>
    </row>
    <row r="1685" spans="1:16" x14ac:dyDescent="0.15">
      <c r="A1685" s="327"/>
      <c r="B1685" s="320"/>
      <c r="C1685" s="320"/>
      <c r="D1685" s="320"/>
      <c r="E1685" s="320"/>
      <c r="F1685" s="320"/>
      <c r="G1685" s="320"/>
      <c r="H1685" s="320"/>
      <c r="I1685" s="320"/>
      <c r="J1685" s="320"/>
      <c r="K1685" s="320"/>
      <c r="L1685" s="320"/>
      <c r="M1685" s="320"/>
      <c r="N1685" s="320"/>
      <c r="O1685" s="321"/>
      <c r="P1685" s="321"/>
    </row>
    <row r="1686" spans="1:16" x14ac:dyDescent="0.15">
      <c r="A1686" s="327"/>
      <c r="B1686" s="320"/>
      <c r="C1686" s="320"/>
      <c r="D1686" s="320"/>
      <c r="E1686" s="320"/>
      <c r="F1686" s="320"/>
      <c r="G1686" s="320"/>
      <c r="H1686" s="320"/>
      <c r="I1686" s="320"/>
      <c r="J1686" s="320"/>
      <c r="K1686" s="320"/>
      <c r="L1686" s="320"/>
      <c r="M1686" s="320"/>
      <c r="N1686" s="320"/>
      <c r="O1686" s="321"/>
      <c r="P1686" s="321"/>
    </row>
    <row r="1687" spans="1:16" x14ac:dyDescent="0.15">
      <c r="A1687" s="327"/>
      <c r="B1687" s="320"/>
      <c r="C1687" s="320"/>
      <c r="D1687" s="320"/>
      <c r="E1687" s="320"/>
      <c r="F1687" s="320"/>
      <c r="G1687" s="320"/>
      <c r="H1687" s="320"/>
      <c r="I1687" s="320"/>
      <c r="J1687" s="320"/>
      <c r="K1687" s="320"/>
      <c r="L1687" s="320"/>
      <c r="M1687" s="320"/>
      <c r="N1687" s="320"/>
      <c r="O1687" s="321"/>
      <c r="P1687" s="321"/>
    </row>
    <row r="1688" spans="1:16" x14ac:dyDescent="0.15">
      <c r="A1688" s="327"/>
      <c r="B1688" s="320"/>
      <c r="C1688" s="320"/>
      <c r="D1688" s="320"/>
      <c r="E1688" s="320"/>
      <c r="F1688" s="320"/>
      <c r="G1688" s="320"/>
      <c r="H1688" s="320"/>
      <c r="I1688" s="320"/>
      <c r="J1688" s="320"/>
      <c r="K1688" s="320"/>
      <c r="L1688" s="320"/>
      <c r="M1688" s="320"/>
      <c r="N1688" s="320"/>
      <c r="O1688" s="321"/>
      <c r="P1688" s="321"/>
    </row>
    <row r="1689" spans="1:16" x14ac:dyDescent="0.15">
      <c r="A1689" s="327"/>
      <c r="B1689" s="320"/>
      <c r="C1689" s="320"/>
      <c r="D1689" s="320"/>
      <c r="E1689" s="320"/>
      <c r="F1689" s="320"/>
      <c r="G1689" s="320"/>
      <c r="H1689" s="320"/>
      <c r="I1689" s="320"/>
      <c r="J1689" s="320"/>
      <c r="K1689" s="320"/>
      <c r="L1689" s="320"/>
      <c r="M1689" s="320"/>
      <c r="N1689" s="320"/>
      <c r="O1689" s="321"/>
      <c r="P1689" s="321"/>
    </row>
    <row r="1690" spans="1:16" x14ac:dyDescent="0.15">
      <c r="A1690" s="327"/>
      <c r="B1690" s="320"/>
      <c r="C1690" s="320"/>
      <c r="D1690" s="320"/>
      <c r="E1690" s="320"/>
      <c r="F1690" s="320"/>
      <c r="G1690" s="320"/>
      <c r="H1690" s="320"/>
      <c r="I1690" s="320"/>
      <c r="J1690" s="320"/>
      <c r="K1690" s="320"/>
      <c r="L1690" s="320"/>
      <c r="M1690" s="320"/>
      <c r="N1690" s="320"/>
      <c r="O1690" s="321"/>
      <c r="P1690" s="321"/>
    </row>
    <row r="1691" spans="1:16" x14ac:dyDescent="0.15">
      <c r="A1691" s="327"/>
      <c r="B1691" s="320"/>
      <c r="C1691" s="320"/>
      <c r="D1691" s="320"/>
      <c r="E1691" s="320"/>
      <c r="F1691" s="320"/>
      <c r="G1691" s="320"/>
      <c r="H1691" s="320"/>
      <c r="I1691" s="320"/>
      <c r="J1691" s="320"/>
      <c r="K1691" s="320"/>
      <c r="L1691" s="320"/>
      <c r="M1691" s="320"/>
      <c r="N1691" s="320"/>
      <c r="O1691" s="321"/>
      <c r="P1691" s="321"/>
    </row>
    <row r="1692" spans="1:16" x14ac:dyDescent="0.15">
      <c r="A1692" s="327"/>
      <c r="B1692" s="320"/>
      <c r="C1692" s="320"/>
      <c r="D1692" s="320"/>
      <c r="E1692" s="320"/>
      <c r="F1692" s="320"/>
      <c r="G1692" s="320"/>
      <c r="H1692" s="320"/>
      <c r="I1692" s="320"/>
      <c r="J1692" s="320"/>
      <c r="K1692" s="320"/>
      <c r="L1692" s="320"/>
      <c r="M1692" s="320"/>
      <c r="N1692" s="320"/>
      <c r="O1692" s="321"/>
      <c r="P1692" s="321"/>
    </row>
    <row r="1693" spans="1:16" x14ac:dyDescent="0.15">
      <c r="A1693" s="327"/>
      <c r="B1693" s="320"/>
      <c r="C1693" s="320"/>
      <c r="D1693" s="320"/>
      <c r="E1693" s="320"/>
      <c r="F1693" s="320"/>
      <c r="G1693" s="320"/>
      <c r="H1693" s="320"/>
      <c r="I1693" s="320"/>
      <c r="J1693" s="320"/>
      <c r="K1693" s="320"/>
      <c r="L1693" s="320"/>
      <c r="M1693" s="320"/>
      <c r="N1693" s="320"/>
      <c r="O1693" s="321"/>
      <c r="P1693" s="321"/>
    </row>
    <row r="1694" spans="1:16" x14ac:dyDescent="0.15">
      <c r="A1694" s="327"/>
      <c r="B1694" s="320"/>
      <c r="C1694" s="320"/>
      <c r="D1694" s="320"/>
      <c r="E1694" s="320"/>
      <c r="F1694" s="320"/>
      <c r="G1694" s="320"/>
      <c r="H1694" s="320"/>
      <c r="I1694" s="320"/>
      <c r="J1694" s="320"/>
      <c r="K1694" s="320"/>
      <c r="L1694" s="320"/>
      <c r="M1694" s="320"/>
      <c r="N1694" s="320"/>
      <c r="O1694" s="321"/>
      <c r="P1694" s="321"/>
    </row>
    <row r="1695" spans="1:16" x14ac:dyDescent="0.15">
      <c r="A1695" s="327"/>
      <c r="B1695" s="320"/>
      <c r="C1695" s="320"/>
      <c r="D1695" s="320"/>
      <c r="E1695" s="320"/>
      <c r="F1695" s="320"/>
      <c r="G1695" s="320"/>
      <c r="H1695" s="320"/>
      <c r="I1695" s="320"/>
      <c r="J1695" s="320"/>
      <c r="K1695" s="320"/>
      <c r="L1695" s="320"/>
      <c r="M1695" s="320"/>
      <c r="N1695" s="320"/>
      <c r="O1695" s="321"/>
      <c r="P1695" s="321"/>
    </row>
    <row r="1696" spans="1:16" x14ac:dyDescent="0.15">
      <c r="A1696" s="327"/>
      <c r="B1696" s="320"/>
      <c r="C1696" s="320"/>
      <c r="D1696" s="320"/>
      <c r="E1696" s="320"/>
      <c r="F1696" s="320"/>
      <c r="G1696" s="320"/>
      <c r="H1696" s="320"/>
      <c r="I1696" s="320"/>
      <c r="J1696" s="320"/>
      <c r="K1696" s="320"/>
      <c r="L1696" s="320"/>
      <c r="M1696" s="320"/>
      <c r="N1696" s="320"/>
      <c r="O1696" s="321"/>
      <c r="P1696" s="321"/>
    </row>
    <row r="1697" spans="1:16" x14ac:dyDescent="0.15">
      <c r="A1697" s="327"/>
      <c r="B1697" s="320"/>
      <c r="C1697" s="320"/>
      <c r="D1697" s="320"/>
      <c r="E1697" s="320"/>
      <c r="F1697" s="320"/>
      <c r="G1697" s="320"/>
      <c r="H1697" s="320"/>
      <c r="I1697" s="320"/>
      <c r="J1697" s="320"/>
      <c r="K1697" s="320"/>
      <c r="L1697" s="320"/>
      <c r="M1697" s="320"/>
      <c r="N1697" s="320"/>
      <c r="O1697" s="321"/>
      <c r="P1697" s="321"/>
    </row>
    <row r="1698" spans="1:16" x14ac:dyDescent="0.15">
      <c r="A1698" s="327"/>
      <c r="B1698" s="320"/>
      <c r="C1698" s="320"/>
      <c r="D1698" s="320"/>
      <c r="E1698" s="320"/>
      <c r="F1698" s="320"/>
      <c r="G1698" s="320"/>
      <c r="H1698" s="320"/>
      <c r="I1698" s="320"/>
      <c r="J1698" s="320"/>
      <c r="K1698" s="320"/>
      <c r="L1698" s="320"/>
      <c r="M1698" s="320"/>
      <c r="N1698" s="320"/>
      <c r="O1698" s="321"/>
      <c r="P1698" s="321"/>
    </row>
    <row r="1699" spans="1:16" x14ac:dyDescent="0.15">
      <c r="A1699" s="327"/>
      <c r="B1699" s="320"/>
      <c r="C1699" s="320"/>
      <c r="D1699" s="320"/>
      <c r="E1699" s="320"/>
      <c r="F1699" s="320"/>
      <c r="G1699" s="320"/>
      <c r="H1699" s="320"/>
      <c r="I1699" s="320"/>
      <c r="J1699" s="320"/>
      <c r="K1699" s="320"/>
      <c r="L1699" s="320"/>
      <c r="M1699" s="320"/>
      <c r="N1699" s="320"/>
      <c r="O1699" s="321"/>
      <c r="P1699" s="321"/>
    </row>
    <row r="1700" spans="1:16" x14ac:dyDescent="0.15">
      <c r="A1700" s="327"/>
      <c r="B1700" s="320"/>
      <c r="C1700" s="320"/>
      <c r="D1700" s="320"/>
      <c r="E1700" s="320"/>
      <c r="F1700" s="320"/>
      <c r="G1700" s="320"/>
      <c r="H1700" s="320"/>
      <c r="I1700" s="320"/>
      <c r="J1700" s="320"/>
      <c r="K1700" s="320"/>
      <c r="L1700" s="320"/>
      <c r="M1700" s="320"/>
      <c r="N1700" s="320"/>
      <c r="O1700" s="321"/>
      <c r="P1700" s="321"/>
    </row>
    <row r="1701" spans="1:16" x14ac:dyDescent="0.15">
      <c r="A1701" s="327"/>
      <c r="B1701" s="320"/>
      <c r="C1701" s="320"/>
      <c r="D1701" s="320"/>
      <c r="E1701" s="320"/>
      <c r="F1701" s="320"/>
      <c r="G1701" s="320"/>
      <c r="H1701" s="320"/>
      <c r="I1701" s="320"/>
      <c r="J1701" s="320"/>
      <c r="K1701" s="320"/>
      <c r="L1701" s="320"/>
      <c r="M1701" s="320"/>
      <c r="N1701" s="320"/>
      <c r="O1701" s="321"/>
      <c r="P1701" s="321"/>
    </row>
    <row r="1702" spans="1:16" x14ac:dyDescent="0.15">
      <c r="A1702" s="327"/>
      <c r="B1702" s="320"/>
      <c r="C1702" s="320"/>
      <c r="D1702" s="320"/>
      <c r="E1702" s="320"/>
      <c r="F1702" s="320"/>
      <c r="G1702" s="320"/>
      <c r="H1702" s="320"/>
      <c r="I1702" s="320"/>
      <c r="J1702" s="320"/>
      <c r="K1702" s="320"/>
      <c r="L1702" s="320"/>
      <c r="M1702" s="320"/>
      <c r="N1702" s="320"/>
      <c r="O1702" s="321"/>
      <c r="P1702" s="321"/>
    </row>
    <row r="1703" spans="1:16" x14ac:dyDescent="0.15">
      <c r="A1703" s="327"/>
      <c r="B1703" s="320"/>
      <c r="C1703" s="320"/>
      <c r="D1703" s="320"/>
      <c r="E1703" s="320"/>
      <c r="F1703" s="320"/>
      <c r="G1703" s="320"/>
      <c r="H1703" s="320"/>
      <c r="I1703" s="320"/>
      <c r="J1703" s="320"/>
      <c r="K1703" s="320"/>
      <c r="L1703" s="320"/>
      <c r="M1703" s="320"/>
      <c r="N1703" s="320"/>
      <c r="O1703" s="321"/>
      <c r="P1703" s="321"/>
    </row>
    <row r="1704" spans="1:16" x14ac:dyDescent="0.15">
      <c r="A1704" s="327"/>
      <c r="B1704" s="320"/>
      <c r="C1704" s="320"/>
      <c r="D1704" s="320"/>
      <c r="E1704" s="320"/>
      <c r="F1704" s="320"/>
      <c r="G1704" s="320"/>
      <c r="H1704" s="320"/>
      <c r="I1704" s="320"/>
      <c r="J1704" s="320"/>
      <c r="K1704" s="320"/>
      <c r="L1704" s="320"/>
      <c r="M1704" s="320"/>
      <c r="N1704" s="320"/>
      <c r="O1704" s="321"/>
      <c r="P1704" s="321"/>
    </row>
    <row r="1705" spans="1:16" x14ac:dyDescent="0.15">
      <c r="A1705" s="327"/>
      <c r="B1705" s="320"/>
      <c r="C1705" s="320"/>
      <c r="D1705" s="320"/>
      <c r="E1705" s="320"/>
      <c r="F1705" s="320"/>
      <c r="G1705" s="320"/>
      <c r="H1705" s="320"/>
      <c r="I1705" s="320"/>
      <c r="J1705" s="320"/>
      <c r="K1705" s="320"/>
      <c r="L1705" s="320"/>
      <c r="M1705" s="320"/>
      <c r="N1705" s="320"/>
      <c r="O1705" s="321"/>
      <c r="P1705" s="321"/>
    </row>
    <row r="1706" spans="1:16" x14ac:dyDescent="0.15">
      <c r="A1706" s="327"/>
      <c r="B1706" s="320"/>
      <c r="C1706" s="320"/>
      <c r="D1706" s="320"/>
      <c r="E1706" s="320"/>
      <c r="F1706" s="320"/>
      <c r="G1706" s="320"/>
      <c r="H1706" s="320"/>
      <c r="I1706" s="320"/>
      <c r="J1706" s="320"/>
      <c r="K1706" s="320"/>
      <c r="L1706" s="320"/>
      <c r="M1706" s="320"/>
      <c r="N1706" s="320"/>
      <c r="O1706" s="321"/>
      <c r="P1706" s="321"/>
    </row>
    <row r="1707" spans="1:16" x14ac:dyDescent="0.15">
      <c r="A1707" s="327"/>
      <c r="B1707" s="320"/>
      <c r="C1707" s="320"/>
      <c r="D1707" s="320"/>
      <c r="E1707" s="320"/>
      <c r="F1707" s="320"/>
      <c r="G1707" s="320"/>
      <c r="H1707" s="320"/>
      <c r="I1707" s="320"/>
      <c r="J1707" s="320"/>
      <c r="K1707" s="320"/>
      <c r="L1707" s="320"/>
      <c r="M1707" s="320"/>
      <c r="N1707" s="320"/>
      <c r="O1707" s="321"/>
      <c r="P1707" s="321"/>
    </row>
    <row r="1708" spans="1:16" x14ac:dyDescent="0.15">
      <c r="A1708" s="327"/>
      <c r="B1708" s="320"/>
      <c r="C1708" s="320"/>
      <c r="D1708" s="320"/>
      <c r="E1708" s="320"/>
      <c r="F1708" s="320"/>
      <c r="G1708" s="320"/>
      <c r="H1708" s="320"/>
      <c r="I1708" s="320"/>
      <c r="J1708" s="320"/>
      <c r="K1708" s="320"/>
      <c r="L1708" s="320"/>
      <c r="M1708" s="320"/>
      <c r="N1708" s="320"/>
      <c r="O1708" s="321"/>
      <c r="P1708" s="321"/>
    </row>
    <row r="1709" spans="1:16" x14ac:dyDescent="0.15">
      <c r="A1709" s="327"/>
      <c r="B1709" s="320"/>
      <c r="C1709" s="320"/>
      <c r="D1709" s="320"/>
      <c r="E1709" s="320"/>
      <c r="F1709" s="320"/>
      <c r="G1709" s="320"/>
      <c r="H1709" s="320"/>
      <c r="I1709" s="320"/>
      <c r="J1709" s="320"/>
      <c r="K1709" s="320"/>
      <c r="L1709" s="320"/>
      <c r="M1709" s="320"/>
      <c r="N1709" s="320"/>
      <c r="O1709" s="321"/>
      <c r="P1709" s="321"/>
    </row>
    <row r="1710" spans="1:16" x14ac:dyDescent="0.15">
      <c r="A1710" s="327"/>
      <c r="B1710" s="320"/>
      <c r="C1710" s="320"/>
      <c r="D1710" s="320"/>
      <c r="E1710" s="320"/>
      <c r="F1710" s="320"/>
      <c r="G1710" s="320"/>
      <c r="H1710" s="320"/>
      <c r="I1710" s="320"/>
      <c r="J1710" s="320"/>
      <c r="K1710" s="320"/>
      <c r="L1710" s="320"/>
      <c r="M1710" s="320"/>
      <c r="N1710" s="320"/>
      <c r="O1710" s="321"/>
      <c r="P1710" s="321"/>
    </row>
    <row r="1711" spans="1:16" x14ac:dyDescent="0.15">
      <c r="A1711" s="327"/>
      <c r="B1711" s="320"/>
      <c r="C1711" s="320"/>
      <c r="D1711" s="320"/>
      <c r="E1711" s="320"/>
      <c r="F1711" s="320"/>
      <c r="G1711" s="320"/>
      <c r="H1711" s="320"/>
      <c r="I1711" s="320"/>
      <c r="J1711" s="320"/>
      <c r="K1711" s="320"/>
      <c r="L1711" s="320"/>
      <c r="M1711" s="320"/>
      <c r="N1711" s="320"/>
      <c r="O1711" s="321"/>
      <c r="P1711" s="321"/>
    </row>
    <row r="1712" spans="1:16" x14ac:dyDescent="0.15">
      <c r="A1712" s="327"/>
      <c r="B1712" s="320"/>
      <c r="C1712" s="320"/>
      <c r="D1712" s="320"/>
      <c r="E1712" s="320"/>
      <c r="F1712" s="320"/>
      <c r="G1712" s="320"/>
      <c r="H1712" s="320"/>
      <c r="I1712" s="320"/>
      <c r="J1712" s="320"/>
      <c r="K1712" s="320"/>
      <c r="L1712" s="320"/>
      <c r="M1712" s="320"/>
      <c r="N1712" s="320"/>
      <c r="O1712" s="321"/>
      <c r="P1712" s="321"/>
    </row>
    <row r="1713" spans="1:16" x14ac:dyDescent="0.15">
      <c r="A1713" s="327"/>
      <c r="B1713" s="320"/>
      <c r="C1713" s="320"/>
      <c r="D1713" s="320"/>
      <c r="E1713" s="320"/>
      <c r="F1713" s="320"/>
      <c r="G1713" s="320"/>
      <c r="H1713" s="320"/>
      <c r="I1713" s="320"/>
      <c r="J1713" s="320"/>
      <c r="K1713" s="320"/>
      <c r="L1713" s="320"/>
      <c r="M1713" s="320"/>
      <c r="N1713" s="320"/>
      <c r="O1713" s="321"/>
      <c r="P1713" s="321"/>
    </row>
    <row r="1714" spans="1:16" x14ac:dyDescent="0.15">
      <c r="A1714" s="327"/>
      <c r="B1714" s="320"/>
      <c r="C1714" s="320"/>
      <c r="D1714" s="320"/>
      <c r="E1714" s="320"/>
      <c r="F1714" s="320"/>
      <c r="G1714" s="320"/>
      <c r="H1714" s="320"/>
      <c r="I1714" s="320"/>
      <c r="J1714" s="320"/>
      <c r="K1714" s="320"/>
      <c r="L1714" s="320"/>
      <c r="M1714" s="320"/>
      <c r="N1714" s="320"/>
      <c r="O1714" s="321"/>
      <c r="P1714" s="321"/>
    </row>
    <row r="1715" spans="1:16" x14ac:dyDescent="0.15">
      <c r="A1715" s="327"/>
      <c r="B1715" s="320"/>
      <c r="C1715" s="320"/>
      <c r="D1715" s="320"/>
      <c r="E1715" s="320"/>
      <c r="F1715" s="320"/>
      <c r="G1715" s="320"/>
      <c r="H1715" s="320"/>
      <c r="I1715" s="320"/>
      <c r="J1715" s="320"/>
      <c r="K1715" s="320"/>
      <c r="L1715" s="320"/>
      <c r="M1715" s="320"/>
      <c r="N1715" s="320"/>
      <c r="O1715" s="321"/>
      <c r="P1715" s="321"/>
    </row>
    <row r="1716" spans="1:16" x14ac:dyDescent="0.15">
      <c r="A1716" s="327"/>
      <c r="B1716" s="320"/>
      <c r="C1716" s="320"/>
      <c r="D1716" s="320"/>
      <c r="E1716" s="320"/>
      <c r="F1716" s="320"/>
      <c r="G1716" s="320"/>
      <c r="H1716" s="320"/>
      <c r="I1716" s="320"/>
      <c r="J1716" s="320"/>
      <c r="K1716" s="320"/>
      <c r="L1716" s="320"/>
      <c r="M1716" s="320"/>
      <c r="N1716" s="320"/>
      <c r="O1716" s="321"/>
      <c r="P1716" s="321"/>
    </row>
    <row r="1717" spans="1:16" x14ac:dyDescent="0.15">
      <c r="A1717" s="327"/>
      <c r="B1717" s="320"/>
      <c r="C1717" s="320"/>
      <c r="D1717" s="320"/>
      <c r="E1717" s="320"/>
      <c r="F1717" s="320"/>
      <c r="G1717" s="320"/>
      <c r="H1717" s="320"/>
      <c r="I1717" s="320"/>
      <c r="J1717" s="320"/>
      <c r="K1717" s="320"/>
      <c r="L1717" s="320"/>
      <c r="M1717" s="320"/>
      <c r="N1717" s="320"/>
      <c r="O1717" s="321"/>
      <c r="P1717" s="321"/>
    </row>
    <row r="1718" spans="1:16" x14ac:dyDescent="0.15">
      <c r="A1718" s="327"/>
      <c r="B1718" s="320"/>
      <c r="C1718" s="320"/>
      <c r="D1718" s="320"/>
      <c r="E1718" s="320"/>
      <c r="F1718" s="320"/>
      <c r="G1718" s="320"/>
      <c r="H1718" s="320"/>
      <c r="I1718" s="320"/>
      <c r="J1718" s="320"/>
      <c r="K1718" s="320"/>
      <c r="L1718" s="320"/>
      <c r="M1718" s="320"/>
      <c r="N1718" s="320"/>
      <c r="O1718" s="321"/>
      <c r="P1718" s="321"/>
    </row>
    <row r="1719" spans="1:16" x14ac:dyDescent="0.15">
      <c r="A1719" s="327"/>
      <c r="B1719" s="320"/>
      <c r="C1719" s="320"/>
      <c r="D1719" s="320"/>
      <c r="E1719" s="320"/>
      <c r="F1719" s="320"/>
      <c r="G1719" s="320"/>
      <c r="H1719" s="320"/>
      <c r="I1719" s="320"/>
      <c r="J1719" s="320"/>
      <c r="K1719" s="320"/>
      <c r="L1719" s="320"/>
      <c r="M1719" s="320"/>
      <c r="N1719" s="320"/>
      <c r="O1719" s="321"/>
      <c r="P1719" s="321"/>
    </row>
    <row r="1720" spans="1:16" x14ac:dyDescent="0.15">
      <c r="A1720" s="327"/>
      <c r="B1720" s="320"/>
      <c r="C1720" s="320"/>
      <c r="D1720" s="320"/>
      <c r="E1720" s="320"/>
      <c r="F1720" s="320"/>
      <c r="G1720" s="320"/>
      <c r="H1720" s="320"/>
      <c r="I1720" s="320"/>
      <c r="J1720" s="320"/>
      <c r="K1720" s="320"/>
      <c r="L1720" s="320"/>
      <c r="M1720" s="320"/>
      <c r="N1720" s="320"/>
      <c r="O1720" s="321"/>
      <c r="P1720" s="321"/>
    </row>
    <row r="1721" spans="1:16" x14ac:dyDescent="0.15">
      <c r="A1721" s="327"/>
      <c r="B1721" s="320"/>
      <c r="C1721" s="320"/>
      <c r="D1721" s="320"/>
      <c r="E1721" s="320"/>
      <c r="F1721" s="320"/>
      <c r="G1721" s="320"/>
      <c r="H1721" s="320"/>
      <c r="I1721" s="320"/>
      <c r="J1721" s="320"/>
      <c r="K1721" s="320"/>
      <c r="L1721" s="320"/>
      <c r="M1721" s="320"/>
      <c r="N1721" s="320"/>
      <c r="O1721" s="321"/>
      <c r="P1721" s="321"/>
    </row>
    <row r="1722" spans="1:16" x14ac:dyDescent="0.15">
      <c r="A1722" s="327"/>
      <c r="B1722" s="320"/>
      <c r="C1722" s="320"/>
      <c r="D1722" s="320"/>
      <c r="E1722" s="320"/>
      <c r="F1722" s="320"/>
      <c r="G1722" s="320"/>
      <c r="H1722" s="320"/>
      <c r="I1722" s="320"/>
      <c r="J1722" s="320"/>
      <c r="K1722" s="320"/>
      <c r="L1722" s="320"/>
      <c r="M1722" s="320"/>
      <c r="N1722" s="320"/>
      <c r="O1722" s="321"/>
      <c r="P1722" s="321"/>
    </row>
    <row r="1723" spans="1:16" x14ac:dyDescent="0.15">
      <c r="A1723" s="327"/>
      <c r="B1723" s="320"/>
      <c r="C1723" s="320"/>
      <c r="D1723" s="320"/>
      <c r="E1723" s="320"/>
      <c r="F1723" s="320"/>
      <c r="G1723" s="320"/>
      <c r="H1723" s="320"/>
      <c r="I1723" s="320"/>
      <c r="J1723" s="320"/>
      <c r="K1723" s="320"/>
      <c r="L1723" s="320"/>
      <c r="M1723" s="320"/>
      <c r="N1723" s="320"/>
      <c r="O1723" s="321"/>
      <c r="P1723" s="321"/>
    </row>
    <row r="1724" spans="1:16" x14ac:dyDescent="0.15">
      <c r="A1724" s="327"/>
      <c r="B1724" s="320"/>
      <c r="C1724" s="320"/>
      <c r="D1724" s="320"/>
      <c r="E1724" s="320"/>
      <c r="F1724" s="320"/>
      <c r="G1724" s="320"/>
      <c r="H1724" s="320"/>
      <c r="I1724" s="320"/>
      <c r="J1724" s="320"/>
      <c r="K1724" s="320"/>
      <c r="L1724" s="320"/>
      <c r="M1724" s="320"/>
      <c r="N1724" s="320"/>
      <c r="O1724" s="321"/>
      <c r="P1724" s="321"/>
    </row>
    <row r="1725" spans="1:16" x14ac:dyDescent="0.15">
      <c r="A1725" s="327"/>
      <c r="B1725" s="320"/>
      <c r="C1725" s="320"/>
      <c r="D1725" s="320"/>
      <c r="E1725" s="320"/>
      <c r="F1725" s="320"/>
      <c r="G1725" s="320"/>
      <c r="H1725" s="320"/>
      <c r="I1725" s="320"/>
      <c r="J1725" s="320"/>
      <c r="K1725" s="320"/>
      <c r="L1725" s="320"/>
      <c r="M1725" s="320"/>
      <c r="N1725" s="320"/>
      <c r="O1725" s="321"/>
      <c r="P1725" s="321"/>
    </row>
    <row r="1726" spans="1:16" x14ac:dyDescent="0.15">
      <c r="A1726" s="327"/>
      <c r="B1726" s="320"/>
      <c r="C1726" s="320"/>
      <c r="D1726" s="320"/>
      <c r="E1726" s="320"/>
      <c r="F1726" s="320"/>
      <c r="G1726" s="320"/>
      <c r="H1726" s="320"/>
      <c r="I1726" s="320"/>
      <c r="J1726" s="320"/>
      <c r="K1726" s="320"/>
      <c r="L1726" s="320"/>
      <c r="M1726" s="320"/>
      <c r="N1726" s="320"/>
      <c r="O1726" s="321"/>
      <c r="P1726" s="321"/>
    </row>
    <row r="1727" spans="1:16" x14ac:dyDescent="0.15">
      <c r="A1727" s="327"/>
      <c r="B1727" s="320"/>
      <c r="C1727" s="320"/>
      <c r="D1727" s="320"/>
      <c r="E1727" s="320"/>
      <c r="F1727" s="320"/>
      <c r="G1727" s="320"/>
      <c r="H1727" s="320"/>
      <c r="I1727" s="320"/>
      <c r="J1727" s="320"/>
      <c r="K1727" s="320"/>
      <c r="L1727" s="320"/>
      <c r="M1727" s="320"/>
      <c r="N1727" s="320"/>
      <c r="O1727" s="321"/>
      <c r="P1727" s="321"/>
    </row>
    <row r="1728" spans="1:16" x14ac:dyDescent="0.15">
      <c r="A1728" s="327"/>
      <c r="B1728" s="320"/>
      <c r="C1728" s="320"/>
      <c r="D1728" s="320"/>
      <c r="E1728" s="320"/>
      <c r="F1728" s="320"/>
      <c r="G1728" s="320"/>
      <c r="H1728" s="320"/>
      <c r="I1728" s="320"/>
      <c r="J1728" s="320"/>
      <c r="K1728" s="320"/>
      <c r="L1728" s="320"/>
      <c r="M1728" s="320"/>
      <c r="N1728" s="320"/>
      <c r="O1728" s="321"/>
      <c r="P1728" s="321"/>
    </row>
    <row r="1729" spans="1:16" x14ac:dyDescent="0.15">
      <c r="A1729" s="327"/>
      <c r="B1729" s="320"/>
      <c r="C1729" s="320"/>
      <c r="D1729" s="320"/>
      <c r="E1729" s="320"/>
      <c r="F1729" s="320"/>
      <c r="G1729" s="320"/>
      <c r="H1729" s="320"/>
      <c r="I1729" s="320"/>
      <c r="J1729" s="320"/>
      <c r="K1729" s="320"/>
      <c r="L1729" s="320"/>
      <c r="M1729" s="320"/>
      <c r="N1729" s="320"/>
      <c r="O1729" s="321"/>
      <c r="P1729" s="321"/>
    </row>
    <row r="1730" spans="1:16" x14ac:dyDescent="0.15">
      <c r="A1730" s="327"/>
      <c r="B1730" s="320"/>
      <c r="C1730" s="320"/>
      <c r="D1730" s="320"/>
      <c r="E1730" s="320"/>
      <c r="F1730" s="320"/>
      <c r="G1730" s="320"/>
      <c r="H1730" s="320"/>
      <c r="I1730" s="320"/>
      <c r="J1730" s="320"/>
      <c r="K1730" s="320"/>
      <c r="L1730" s="320"/>
      <c r="M1730" s="320"/>
      <c r="N1730" s="320"/>
      <c r="O1730" s="321"/>
      <c r="P1730" s="321"/>
    </row>
    <row r="1731" spans="1:16" x14ac:dyDescent="0.15">
      <c r="A1731" s="327"/>
      <c r="B1731" s="320"/>
      <c r="C1731" s="320"/>
      <c r="D1731" s="320"/>
      <c r="E1731" s="320"/>
      <c r="F1731" s="320"/>
      <c r="G1731" s="320"/>
      <c r="H1731" s="320"/>
      <c r="I1731" s="320"/>
      <c r="J1731" s="320"/>
      <c r="K1731" s="320"/>
      <c r="L1731" s="320"/>
      <c r="M1731" s="320"/>
      <c r="N1731" s="320"/>
      <c r="O1731" s="321"/>
      <c r="P1731" s="321"/>
    </row>
    <row r="1732" spans="1:16" x14ac:dyDescent="0.15">
      <c r="A1732" s="327"/>
      <c r="B1732" s="320"/>
      <c r="C1732" s="320"/>
      <c r="D1732" s="320"/>
      <c r="E1732" s="320"/>
      <c r="F1732" s="320"/>
      <c r="G1732" s="320"/>
      <c r="H1732" s="320"/>
      <c r="I1732" s="320"/>
      <c r="J1732" s="320"/>
      <c r="K1732" s="320"/>
      <c r="L1732" s="320"/>
      <c r="M1732" s="320"/>
      <c r="N1732" s="320"/>
      <c r="O1732" s="321"/>
      <c r="P1732" s="321"/>
    </row>
    <row r="1733" spans="1:16" x14ac:dyDescent="0.15">
      <c r="A1733" s="327"/>
      <c r="B1733" s="320"/>
      <c r="C1733" s="320"/>
      <c r="D1733" s="320"/>
      <c r="E1733" s="320"/>
      <c r="F1733" s="320"/>
      <c r="G1733" s="320"/>
      <c r="H1733" s="320"/>
      <c r="I1733" s="320"/>
      <c r="J1733" s="320"/>
      <c r="K1733" s="320"/>
      <c r="L1733" s="320"/>
      <c r="M1733" s="320"/>
      <c r="N1733" s="320"/>
      <c r="O1733" s="321"/>
      <c r="P1733" s="321"/>
    </row>
    <row r="1734" spans="1:16" x14ac:dyDescent="0.15">
      <c r="A1734" s="327"/>
      <c r="B1734" s="320"/>
      <c r="C1734" s="320"/>
      <c r="D1734" s="320"/>
      <c r="E1734" s="320"/>
      <c r="F1734" s="320"/>
      <c r="G1734" s="320"/>
      <c r="H1734" s="320"/>
      <c r="I1734" s="320"/>
      <c r="J1734" s="320"/>
      <c r="K1734" s="320"/>
      <c r="L1734" s="320"/>
      <c r="M1734" s="320"/>
      <c r="N1734" s="320"/>
      <c r="O1734" s="321"/>
      <c r="P1734" s="321"/>
    </row>
    <row r="1735" spans="1:16" x14ac:dyDescent="0.15">
      <c r="A1735" s="327"/>
      <c r="B1735" s="320"/>
      <c r="C1735" s="320"/>
      <c r="D1735" s="320"/>
      <c r="E1735" s="320"/>
      <c r="F1735" s="320"/>
      <c r="G1735" s="320"/>
      <c r="H1735" s="320"/>
      <c r="I1735" s="320"/>
      <c r="J1735" s="320"/>
      <c r="K1735" s="320"/>
      <c r="L1735" s="320"/>
      <c r="M1735" s="320"/>
      <c r="N1735" s="320"/>
      <c r="O1735" s="321"/>
      <c r="P1735" s="321"/>
    </row>
    <row r="1736" spans="1:16" x14ac:dyDescent="0.15">
      <c r="A1736" s="327"/>
      <c r="B1736" s="320"/>
      <c r="C1736" s="320"/>
      <c r="D1736" s="320"/>
      <c r="E1736" s="320"/>
      <c r="F1736" s="320"/>
      <c r="G1736" s="320"/>
      <c r="H1736" s="320"/>
      <c r="I1736" s="320"/>
      <c r="J1736" s="320"/>
      <c r="K1736" s="320"/>
      <c r="L1736" s="320"/>
      <c r="M1736" s="320"/>
      <c r="N1736" s="320"/>
      <c r="O1736" s="321"/>
      <c r="P1736" s="321"/>
    </row>
    <row r="1737" spans="1:16" x14ac:dyDescent="0.15">
      <c r="A1737" s="327"/>
      <c r="B1737" s="320"/>
      <c r="C1737" s="320"/>
      <c r="D1737" s="320"/>
      <c r="E1737" s="320"/>
      <c r="F1737" s="320"/>
      <c r="G1737" s="320"/>
      <c r="H1737" s="320"/>
      <c r="I1737" s="320"/>
      <c r="J1737" s="320"/>
      <c r="K1737" s="320"/>
      <c r="L1737" s="320"/>
      <c r="M1737" s="320"/>
      <c r="N1737" s="320"/>
      <c r="O1737" s="321"/>
      <c r="P1737" s="321"/>
    </row>
    <row r="1738" spans="1:16" x14ac:dyDescent="0.15">
      <c r="A1738" s="327"/>
      <c r="B1738" s="320"/>
      <c r="C1738" s="320"/>
      <c r="D1738" s="320"/>
      <c r="E1738" s="320"/>
      <c r="F1738" s="320"/>
      <c r="G1738" s="320"/>
      <c r="H1738" s="320"/>
      <c r="I1738" s="320"/>
      <c r="J1738" s="320"/>
      <c r="K1738" s="320"/>
      <c r="L1738" s="320"/>
      <c r="M1738" s="320"/>
      <c r="N1738" s="320"/>
      <c r="O1738" s="321"/>
      <c r="P1738" s="321"/>
    </row>
    <row r="1739" spans="1:16" x14ac:dyDescent="0.15">
      <c r="A1739" s="327"/>
      <c r="B1739" s="320"/>
      <c r="C1739" s="320"/>
      <c r="D1739" s="320"/>
      <c r="E1739" s="320"/>
      <c r="F1739" s="320"/>
      <c r="G1739" s="320"/>
      <c r="H1739" s="320"/>
      <c r="I1739" s="320"/>
      <c r="J1739" s="320"/>
      <c r="K1739" s="320"/>
      <c r="L1739" s="320"/>
      <c r="M1739" s="320"/>
      <c r="N1739" s="320"/>
      <c r="O1739" s="321"/>
      <c r="P1739" s="321"/>
    </row>
    <row r="1740" spans="1:16" x14ac:dyDescent="0.15">
      <c r="A1740" s="327"/>
      <c r="B1740" s="320"/>
      <c r="C1740" s="320"/>
      <c r="D1740" s="320"/>
      <c r="E1740" s="320"/>
      <c r="F1740" s="320"/>
      <c r="G1740" s="320"/>
      <c r="H1740" s="320"/>
      <c r="I1740" s="320"/>
      <c r="J1740" s="320"/>
      <c r="K1740" s="320"/>
      <c r="L1740" s="320"/>
      <c r="M1740" s="320"/>
      <c r="N1740" s="320"/>
      <c r="O1740" s="321"/>
      <c r="P1740" s="321"/>
    </row>
    <row r="1741" spans="1:16" x14ac:dyDescent="0.15">
      <c r="A1741" s="327"/>
      <c r="B1741" s="320"/>
      <c r="C1741" s="320"/>
      <c r="D1741" s="320"/>
      <c r="E1741" s="320"/>
      <c r="F1741" s="320"/>
      <c r="G1741" s="320"/>
      <c r="H1741" s="320"/>
      <c r="I1741" s="320"/>
      <c r="J1741" s="320"/>
      <c r="K1741" s="320"/>
      <c r="L1741" s="320"/>
      <c r="M1741" s="320"/>
      <c r="N1741" s="320"/>
      <c r="O1741" s="321"/>
      <c r="P1741" s="321"/>
    </row>
    <row r="1742" spans="1:16" x14ac:dyDescent="0.15">
      <c r="A1742" s="327"/>
      <c r="B1742" s="320"/>
      <c r="C1742" s="320"/>
      <c r="D1742" s="320"/>
      <c r="E1742" s="320"/>
      <c r="F1742" s="320"/>
      <c r="G1742" s="320"/>
      <c r="H1742" s="320"/>
      <c r="I1742" s="320"/>
      <c r="J1742" s="320"/>
      <c r="K1742" s="320"/>
      <c r="L1742" s="320"/>
      <c r="M1742" s="320"/>
      <c r="N1742" s="320"/>
      <c r="O1742" s="321"/>
      <c r="P1742" s="321"/>
    </row>
    <row r="1743" spans="1:16" x14ac:dyDescent="0.15">
      <c r="A1743" s="327"/>
      <c r="B1743" s="320"/>
      <c r="C1743" s="320"/>
      <c r="D1743" s="320"/>
      <c r="E1743" s="320"/>
      <c r="F1743" s="320"/>
      <c r="G1743" s="320"/>
      <c r="H1743" s="320"/>
      <c r="I1743" s="320"/>
      <c r="J1743" s="320"/>
      <c r="K1743" s="320"/>
      <c r="L1743" s="320"/>
      <c r="M1743" s="320"/>
      <c r="N1743" s="320"/>
      <c r="O1743" s="321"/>
      <c r="P1743" s="321"/>
    </row>
    <row r="1744" spans="1:16" x14ac:dyDescent="0.15">
      <c r="A1744" s="327"/>
      <c r="B1744" s="320"/>
      <c r="C1744" s="320"/>
      <c r="D1744" s="320"/>
      <c r="E1744" s="320"/>
      <c r="F1744" s="320"/>
      <c r="G1744" s="320"/>
      <c r="H1744" s="320"/>
      <c r="I1744" s="320"/>
      <c r="J1744" s="320"/>
      <c r="K1744" s="320"/>
      <c r="L1744" s="320"/>
      <c r="M1744" s="320"/>
      <c r="N1744" s="320"/>
      <c r="O1744" s="321"/>
      <c r="P1744" s="321"/>
    </row>
    <row r="1745" spans="1:16" x14ac:dyDescent="0.15">
      <c r="A1745" s="327"/>
      <c r="B1745" s="320"/>
      <c r="C1745" s="320"/>
      <c r="D1745" s="320"/>
      <c r="E1745" s="320"/>
      <c r="F1745" s="320"/>
      <c r="G1745" s="320"/>
      <c r="H1745" s="320"/>
      <c r="I1745" s="320"/>
      <c r="J1745" s="320"/>
      <c r="K1745" s="320"/>
      <c r="L1745" s="320"/>
      <c r="M1745" s="320"/>
      <c r="N1745" s="320"/>
      <c r="O1745" s="321"/>
      <c r="P1745" s="321"/>
    </row>
    <row r="1746" spans="1:16" x14ac:dyDescent="0.15">
      <c r="A1746" s="327"/>
      <c r="B1746" s="320"/>
      <c r="C1746" s="320"/>
      <c r="D1746" s="320"/>
      <c r="E1746" s="320"/>
      <c r="F1746" s="320"/>
      <c r="G1746" s="320"/>
      <c r="H1746" s="320"/>
      <c r="I1746" s="320"/>
      <c r="J1746" s="320"/>
      <c r="K1746" s="320"/>
      <c r="L1746" s="320"/>
      <c r="M1746" s="320"/>
      <c r="N1746" s="320"/>
      <c r="O1746" s="321"/>
      <c r="P1746" s="321"/>
    </row>
    <row r="1747" spans="1:16" x14ac:dyDescent="0.15">
      <c r="A1747" s="327"/>
      <c r="B1747" s="320"/>
      <c r="C1747" s="320"/>
      <c r="D1747" s="320"/>
      <c r="E1747" s="320"/>
      <c r="F1747" s="320"/>
      <c r="G1747" s="320"/>
      <c r="H1747" s="320"/>
      <c r="I1747" s="320"/>
      <c r="J1747" s="320"/>
      <c r="K1747" s="320"/>
      <c r="L1747" s="320"/>
      <c r="M1747" s="320"/>
      <c r="N1747" s="320"/>
      <c r="O1747" s="321"/>
      <c r="P1747" s="321"/>
    </row>
    <row r="1748" spans="1:16" x14ac:dyDescent="0.15">
      <c r="A1748" s="327"/>
      <c r="B1748" s="320"/>
      <c r="C1748" s="320"/>
      <c r="D1748" s="320"/>
      <c r="E1748" s="320"/>
      <c r="F1748" s="320"/>
      <c r="G1748" s="320"/>
      <c r="H1748" s="320"/>
      <c r="I1748" s="320"/>
      <c r="J1748" s="320"/>
      <c r="K1748" s="320"/>
      <c r="L1748" s="320"/>
      <c r="M1748" s="320"/>
      <c r="N1748" s="320"/>
      <c r="O1748" s="321"/>
      <c r="P1748" s="321"/>
    </row>
    <row r="1749" spans="1:16" x14ac:dyDescent="0.15">
      <c r="A1749" s="327"/>
      <c r="B1749" s="320"/>
      <c r="C1749" s="320"/>
      <c r="D1749" s="320"/>
      <c r="E1749" s="320"/>
      <c r="F1749" s="320"/>
      <c r="G1749" s="320"/>
      <c r="H1749" s="320"/>
      <c r="I1749" s="320"/>
      <c r="J1749" s="320"/>
      <c r="K1749" s="320"/>
      <c r="L1749" s="320"/>
      <c r="M1749" s="320"/>
      <c r="N1749" s="320"/>
      <c r="O1749" s="321"/>
      <c r="P1749" s="321"/>
    </row>
    <row r="1750" spans="1:16" x14ac:dyDescent="0.15">
      <c r="A1750" s="327"/>
      <c r="B1750" s="320"/>
      <c r="C1750" s="320"/>
      <c r="D1750" s="320"/>
      <c r="E1750" s="320"/>
      <c r="F1750" s="320"/>
      <c r="G1750" s="320"/>
      <c r="H1750" s="320"/>
      <c r="I1750" s="320"/>
      <c r="J1750" s="320"/>
      <c r="K1750" s="320"/>
      <c r="L1750" s="320"/>
      <c r="M1750" s="320"/>
      <c r="N1750" s="320"/>
      <c r="O1750" s="321"/>
      <c r="P1750" s="321"/>
    </row>
    <row r="1751" spans="1:16" x14ac:dyDescent="0.15">
      <c r="A1751" s="327"/>
      <c r="B1751" s="320"/>
      <c r="C1751" s="320"/>
      <c r="D1751" s="320"/>
      <c r="E1751" s="320"/>
      <c r="F1751" s="320"/>
      <c r="G1751" s="320"/>
      <c r="H1751" s="320"/>
      <c r="I1751" s="320"/>
      <c r="J1751" s="320"/>
      <c r="K1751" s="320"/>
      <c r="L1751" s="320"/>
      <c r="M1751" s="320"/>
      <c r="N1751" s="320"/>
      <c r="O1751" s="321"/>
      <c r="P1751" s="321"/>
    </row>
    <row r="1752" spans="1:16" x14ac:dyDescent="0.15">
      <c r="A1752" s="327"/>
      <c r="B1752" s="320"/>
      <c r="C1752" s="320"/>
      <c r="D1752" s="320"/>
      <c r="E1752" s="320"/>
      <c r="F1752" s="320"/>
      <c r="G1752" s="320"/>
      <c r="H1752" s="320"/>
      <c r="I1752" s="320"/>
      <c r="J1752" s="320"/>
      <c r="K1752" s="320"/>
      <c r="L1752" s="320"/>
      <c r="M1752" s="320"/>
      <c r="N1752" s="320"/>
      <c r="O1752" s="321"/>
      <c r="P1752" s="321"/>
    </row>
    <row r="1753" spans="1:16" x14ac:dyDescent="0.15">
      <c r="A1753" s="327"/>
      <c r="B1753" s="320"/>
      <c r="C1753" s="320"/>
      <c r="D1753" s="320"/>
      <c r="E1753" s="320"/>
      <c r="F1753" s="320"/>
      <c r="G1753" s="320"/>
      <c r="H1753" s="320"/>
      <c r="I1753" s="320"/>
      <c r="J1753" s="320"/>
      <c r="K1753" s="320"/>
      <c r="L1753" s="320"/>
      <c r="M1753" s="320"/>
      <c r="N1753" s="320"/>
      <c r="O1753" s="321"/>
      <c r="P1753" s="321"/>
    </row>
    <row r="1754" spans="1:16" x14ac:dyDescent="0.15">
      <c r="A1754" s="327"/>
      <c r="B1754" s="320"/>
      <c r="C1754" s="320"/>
      <c r="D1754" s="320"/>
      <c r="E1754" s="320"/>
      <c r="F1754" s="320"/>
      <c r="G1754" s="320"/>
      <c r="H1754" s="320"/>
      <c r="I1754" s="320"/>
      <c r="J1754" s="320"/>
      <c r="K1754" s="320"/>
      <c r="L1754" s="320"/>
      <c r="M1754" s="320"/>
      <c r="N1754" s="320"/>
      <c r="O1754" s="321"/>
      <c r="P1754" s="321"/>
    </row>
    <row r="1755" spans="1:16" x14ac:dyDescent="0.15">
      <c r="A1755" s="327"/>
      <c r="B1755" s="320"/>
      <c r="C1755" s="320"/>
      <c r="D1755" s="320"/>
      <c r="E1755" s="320"/>
      <c r="F1755" s="320"/>
      <c r="G1755" s="320"/>
      <c r="H1755" s="320"/>
      <c r="I1755" s="320"/>
      <c r="J1755" s="320"/>
      <c r="K1755" s="320"/>
      <c r="L1755" s="320"/>
      <c r="M1755" s="320"/>
      <c r="N1755" s="320"/>
      <c r="O1755" s="321"/>
      <c r="P1755" s="321"/>
    </row>
    <row r="1756" spans="1:16" x14ac:dyDescent="0.15">
      <c r="A1756" s="327"/>
      <c r="B1756" s="320"/>
      <c r="C1756" s="320"/>
      <c r="D1756" s="320"/>
      <c r="E1756" s="320"/>
      <c r="F1756" s="320"/>
      <c r="G1756" s="320"/>
      <c r="H1756" s="320"/>
      <c r="I1756" s="320"/>
      <c r="J1756" s="320"/>
      <c r="K1756" s="320"/>
      <c r="L1756" s="320"/>
      <c r="M1756" s="320"/>
      <c r="N1756" s="320"/>
      <c r="O1756" s="321"/>
      <c r="P1756" s="321"/>
    </row>
    <row r="1757" spans="1:16" x14ac:dyDescent="0.15">
      <c r="A1757" s="327"/>
      <c r="B1757" s="320"/>
      <c r="C1757" s="320"/>
      <c r="D1757" s="320"/>
      <c r="E1757" s="320"/>
      <c r="F1757" s="320"/>
      <c r="G1757" s="320"/>
      <c r="H1757" s="320"/>
      <c r="I1757" s="320"/>
      <c r="J1757" s="320"/>
      <c r="K1757" s="320"/>
      <c r="L1757" s="320"/>
      <c r="M1757" s="320"/>
      <c r="N1757" s="320"/>
      <c r="O1757" s="321"/>
      <c r="P1757" s="321"/>
    </row>
    <row r="1758" spans="1:16" x14ac:dyDescent="0.15">
      <c r="A1758" s="327"/>
      <c r="B1758" s="320"/>
      <c r="C1758" s="320"/>
      <c r="D1758" s="320"/>
      <c r="E1758" s="320"/>
      <c r="F1758" s="320"/>
      <c r="G1758" s="320"/>
      <c r="H1758" s="320"/>
      <c r="I1758" s="320"/>
      <c r="J1758" s="320"/>
      <c r="K1758" s="320"/>
      <c r="L1758" s="320"/>
      <c r="M1758" s="320"/>
      <c r="N1758" s="320"/>
      <c r="O1758" s="321"/>
      <c r="P1758" s="321"/>
    </row>
    <row r="1759" spans="1:16" x14ac:dyDescent="0.15">
      <c r="A1759" s="327"/>
      <c r="B1759" s="320"/>
      <c r="C1759" s="320"/>
      <c r="D1759" s="320"/>
      <c r="E1759" s="320"/>
      <c r="F1759" s="320"/>
      <c r="G1759" s="320"/>
      <c r="H1759" s="320"/>
      <c r="I1759" s="320"/>
      <c r="J1759" s="320"/>
      <c r="K1759" s="320"/>
      <c r="L1759" s="320"/>
      <c r="M1759" s="320"/>
      <c r="N1759" s="320"/>
      <c r="O1759" s="321"/>
      <c r="P1759" s="321"/>
    </row>
    <row r="1760" spans="1:16" x14ac:dyDescent="0.15">
      <c r="A1760" s="327"/>
      <c r="B1760" s="320"/>
      <c r="C1760" s="320"/>
      <c r="D1760" s="320"/>
      <c r="E1760" s="320"/>
      <c r="F1760" s="320"/>
      <c r="G1760" s="320"/>
      <c r="H1760" s="320"/>
      <c r="I1760" s="320"/>
      <c r="J1760" s="320"/>
      <c r="K1760" s="320"/>
      <c r="L1760" s="320"/>
      <c r="M1760" s="320"/>
      <c r="N1760" s="320"/>
      <c r="O1760" s="321"/>
      <c r="P1760" s="321"/>
    </row>
    <row r="1761" spans="1:16" x14ac:dyDescent="0.15">
      <c r="A1761" s="327"/>
      <c r="B1761" s="320"/>
      <c r="C1761" s="320"/>
      <c r="D1761" s="320"/>
      <c r="E1761" s="320"/>
      <c r="F1761" s="320"/>
      <c r="G1761" s="320"/>
      <c r="H1761" s="320"/>
      <c r="I1761" s="320"/>
      <c r="J1761" s="320"/>
      <c r="K1761" s="320"/>
      <c r="L1761" s="320"/>
      <c r="M1761" s="320"/>
      <c r="N1761" s="320"/>
      <c r="O1761" s="321"/>
      <c r="P1761" s="321"/>
    </row>
    <row r="1762" spans="1:16" x14ac:dyDescent="0.15">
      <c r="A1762" s="327"/>
      <c r="B1762" s="320"/>
      <c r="C1762" s="320"/>
      <c r="D1762" s="320"/>
      <c r="E1762" s="320"/>
      <c r="F1762" s="320"/>
      <c r="G1762" s="320"/>
      <c r="H1762" s="320"/>
      <c r="I1762" s="320"/>
      <c r="J1762" s="320"/>
      <c r="K1762" s="320"/>
      <c r="L1762" s="320"/>
      <c r="M1762" s="320"/>
      <c r="N1762" s="320"/>
      <c r="O1762" s="321"/>
      <c r="P1762" s="321"/>
    </row>
    <row r="1763" spans="1:16" x14ac:dyDescent="0.15">
      <c r="A1763" s="327"/>
      <c r="B1763" s="320"/>
      <c r="C1763" s="320"/>
      <c r="D1763" s="320"/>
      <c r="E1763" s="320"/>
      <c r="F1763" s="320"/>
      <c r="G1763" s="320"/>
      <c r="H1763" s="320"/>
      <c r="I1763" s="320"/>
      <c r="J1763" s="320"/>
      <c r="K1763" s="320"/>
      <c r="L1763" s="320"/>
      <c r="M1763" s="320"/>
      <c r="N1763" s="320"/>
      <c r="O1763" s="321"/>
      <c r="P1763" s="321"/>
    </row>
    <row r="1764" spans="1:16" x14ac:dyDescent="0.15">
      <c r="A1764" s="327"/>
      <c r="B1764" s="320"/>
      <c r="C1764" s="320"/>
      <c r="D1764" s="320"/>
      <c r="E1764" s="320"/>
      <c r="F1764" s="320"/>
      <c r="G1764" s="320"/>
      <c r="H1764" s="320"/>
      <c r="I1764" s="320"/>
      <c r="J1764" s="320"/>
      <c r="K1764" s="320"/>
      <c r="L1764" s="320"/>
      <c r="M1764" s="320"/>
      <c r="N1764" s="320"/>
      <c r="O1764" s="321"/>
      <c r="P1764" s="321"/>
    </row>
    <row r="1765" spans="1:16" x14ac:dyDescent="0.15">
      <c r="A1765" s="327"/>
      <c r="B1765" s="320"/>
      <c r="C1765" s="320"/>
      <c r="D1765" s="320"/>
      <c r="E1765" s="320"/>
      <c r="F1765" s="320"/>
      <c r="G1765" s="320"/>
      <c r="H1765" s="320"/>
      <c r="I1765" s="320"/>
      <c r="J1765" s="320"/>
      <c r="K1765" s="320"/>
      <c r="L1765" s="320"/>
      <c r="M1765" s="320"/>
      <c r="N1765" s="320"/>
      <c r="O1765" s="321"/>
      <c r="P1765" s="321"/>
    </row>
    <row r="1766" spans="1:16" x14ac:dyDescent="0.15">
      <c r="A1766" s="327"/>
      <c r="B1766" s="320"/>
      <c r="C1766" s="320"/>
      <c r="D1766" s="320"/>
      <c r="E1766" s="320"/>
      <c r="F1766" s="320"/>
      <c r="G1766" s="320"/>
      <c r="H1766" s="320"/>
      <c r="I1766" s="320"/>
      <c r="J1766" s="320"/>
      <c r="K1766" s="320"/>
      <c r="L1766" s="320"/>
      <c r="M1766" s="320"/>
      <c r="N1766" s="320"/>
      <c r="O1766" s="321"/>
      <c r="P1766" s="321"/>
    </row>
    <row r="1767" spans="1:16" x14ac:dyDescent="0.15">
      <c r="A1767" s="327"/>
      <c r="B1767" s="320"/>
      <c r="C1767" s="320"/>
      <c r="D1767" s="320"/>
      <c r="E1767" s="320"/>
      <c r="F1767" s="320"/>
      <c r="G1767" s="320"/>
      <c r="H1767" s="320"/>
      <c r="I1767" s="320"/>
      <c r="J1767" s="320"/>
      <c r="K1767" s="320"/>
      <c r="L1767" s="320"/>
      <c r="M1767" s="320"/>
      <c r="N1767" s="320"/>
      <c r="O1767" s="321"/>
      <c r="P1767" s="321"/>
    </row>
    <row r="1768" spans="1:16" x14ac:dyDescent="0.15">
      <c r="A1768" s="327"/>
      <c r="B1768" s="320"/>
      <c r="C1768" s="320"/>
      <c r="D1768" s="320"/>
      <c r="E1768" s="320"/>
      <c r="F1768" s="320"/>
      <c r="G1768" s="320"/>
      <c r="H1768" s="320"/>
      <c r="I1768" s="320"/>
      <c r="J1768" s="320"/>
      <c r="K1768" s="320"/>
      <c r="L1768" s="320"/>
      <c r="M1768" s="320"/>
      <c r="N1768" s="320"/>
      <c r="O1768" s="321"/>
      <c r="P1768" s="321"/>
    </row>
    <row r="1769" spans="1:16" x14ac:dyDescent="0.15">
      <c r="A1769" s="327"/>
      <c r="B1769" s="320"/>
      <c r="C1769" s="320"/>
      <c r="D1769" s="320"/>
      <c r="E1769" s="320"/>
      <c r="F1769" s="320"/>
      <c r="G1769" s="320"/>
      <c r="H1769" s="320"/>
      <c r="I1769" s="320"/>
      <c r="J1769" s="320"/>
      <c r="K1769" s="320"/>
      <c r="L1769" s="320"/>
      <c r="M1769" s="320"/>
      <c r="N1769" s="320"/>
      <c r="O1769" s="321"/>
      <c r="P1769" s="321"/>
    </row>
    <row r="1770" spans="1:16" x14ac:dyDescent="0.15">
      <c r="A1770" s="327"/>
      <c r="B1770" s="320"/>
      <c r="C1770" s="320"/>
      <c r="D1770" s="320"/>
      <c r="E1770" s="320"/>
      <c r="F1770" s="320"/>
      <c r="G1770" s="320"/>
      <c r="H1770" s="320"/>
      <c r="I1770" s="320"/>
      <c r="J1770" s="320"/>
      <c r="K1770" s="320"/>
      <c r="L1770" s="320"/>
      <c r="M1770" s="320"/>
      <c r="N1770" s="320"/>
      <c r="O1770" s="321"/>
      <c r="P1770" s="321"/>
    </row>
    <row r="1771" spans="1:16" x14ac:dyDescent="0.15">
      <c r="A1771" s="327"/>
      <c r="B1771" s="320"/>
      <c r="C1771" s="320"/>
      <c r="D1771" s="320"/>
      <c r="E1771" s="320"/>
      <c r="F1771" s="320"/>
      <c r="G1771" s="320"/>
      <c r="H1771" s="320"/>
      <c r="I1771" s="320"/>
      <c r="J1771" s="320"/>
      <c r="K1771" s="320"/>
      <c r="L1771" s="320"/>
      <c r="M1771" s="320"/>
      <c r="N1771" s="320"/>
      <c r="O1771" s="321"/>
      <c r="P1771" s="321"/>
    </row>
    <row r="1772" spans="1:16" x14ac:dyDescent="0.15">
      <c r="A1772" s="327"/>
      <c r="B1772" s="320"/>
      <c r="C1772" s="320"/>
      <c r="D1772" s="320"/>
      <c r="E1772" s="320"/>
      <c r="F1772" s="320"/>
      <c r="G1772" s="320"/>
      <c r="H1772" s="320"/>
      <c r="I1772" s="320"/>
      <c r="J1772" s="320"/>
      <c r="K1772" s="320"/>
      <c r="L1772" s="320"/>
      <c r="M1772" s="320"/>
      <c r="N1772" s="320"/>
      <c r="O1772" s="321"/>
      <c r="P1772" s="321"/>
    </row>
    <row r="1773" spans="1:16" x14ac:dyDescent="0.15">
      <c r="A1773" s="327"/>
      <c r="B1773" s="320"/>
      <c r="C1773" s="320"/>
      <c r="D1773" s="320"/>
      <c r="E1773" s="320"/>
      <c r="F1773" s="320"/>
      <c r="G1773" s="320"/>
      <c r="H1773" s="320"/>
      <c r="I1773" s="320"/>
      <c r="J1773" s="320"/>
      <c r="K1773" s="320"/>
      <c r="L1773" s="320"/>
      <c r="M1773" s="320"/>
      <c r="N1773" s="320"/>
      <c r="O1773" s="321"/>
      <c r="P1773" s="321"/>
    </row>
    <row r="1774" spans="1:16" x14ac:dyDescent="0.15">
      <c r="A1774" s="327"/>
      <c r="B1774" s="320"/>
      <c r="C1774" s="320"/>
      <c r="D1774" s="320"/>
      <c r="E1774" s="320"/>
      <c r="F1774" s="320"/>
      <c r="G1774" s="320"/>
      <c r="H1774" s="320"/>
      <c r="I1774" s="320"/>
      <c r="J1774" s="320"/>
      <c r="K1774" s="320"/>
      <c r="L1774" s="320"/>
      <c r="M1774" s="320"/>
      <c r="N1774" s="320"/>
      <c r="O1774" s="321"/>
      <c r="P1774" s="321"/>
    </row>
    <row r="1775" spans="1:16" x14ac:dyDescent="0.15">
      <c r="A1775" s="327"/>
      <c r="B1775" s="320"/>
      <c r="C1775" s="320"/>
      <c r="D1775" s="320"/>
      <c r="E1775" s="320"/>
      <c r="F1775" s="320"/>
      <c r="G1775" s="320"/>
      <c r="H1775" s="320"/>
      <c r="I1775" s="320"/>
      <c r="J1775" s="320"/>
      <c r="K1775" s="320"/>
      <c r="L1775" s="320"/>
      <c r="M1775" s="320"/>
      <c r="N1775" s="320"/>
      <c r="O1775" s="321"/>
      <c r="P1775" s="321"/>
    </row>
    <row r="1776" spans="1:16" x14ac:dyDescent="0.15">
      <c r="A1776" s="327"/>
      <c r="B1776" s="320"/>
      <c r="C1776" s="320"/>
      <c r="D1776" s="320"/>
      <c r="E1776" s="320"/>
      <c r="F1776" s="320"/>
      <c r="G1776" s="320"/>
      <c r="H1776" s="320"/>
      <c r="I1776" s="320"/>
      <c r="J1776" s="320"/>
      <c r="K1776" s="320"/>
      <c r="L1776" s="320"/>
      <c r="M1776" s="320"/>
      <c r="N1776" s="320"/>
      <c r="O1776" s="321"/>
      <c r="P1776" s="321"/>
    </row>
    <row r="1777" spans="1:16" x14ac:dyDescent="0.15">
      <c r="A1777" s="327"/>
      <c r="B1777" s="320"/>
      <c r="C1777" s="320"/>
      <c r="D1777" s="320"/>
      <c r="E1777" s="320"/>
      <c r="F1777" s="320"/>
      <c r="G1777" s="320"/>
      <c r="H1777" s="320"/>
      <c r="I1777" s="320"/>
      <c r="J1777" s="320"/>
      <c r="K1777" s="320"/>
      <c r="L1777" s="320"/>
      <c r="M1777" s="320"/>
      <c r="N1777" s="320"/>
      <c r="O1777" s="321"/>
      <c r="P1777" s="321"/>
    </row>
    <row r="1778" spans="1:16" x14ac:dyDescent="0.15">
      <c r="A1778" s="327"/>
      <c r="B1778" s="320"/>
      <c r="C1778" s="320"/>
      <c r="D1778" s="320"/>
      <c r="E1778" s="320"/>
      <c r="F1778" s="320"/>
      <c r="G1778" s="320"/>
      <c r="H1778" s="320"/>
      <c r="I1778" s="320"/>
      <c r="J1778" s="320"/>
      <c r="K1778" s="320"/>
      <c r="L1778" s="320"/>
      <c r="M1778" s="320"/>
      <c r="N1778" s="320"/>
      <c r="O1778" s="321"/>
      <c r="P1778" s="321"/>
    </row>
    <row r="1779" spans="1:16" x14ac:dyDescent="0.15">
      <c r="A1779" s="327"/>
      <c r="B1779" s="320"/>
      <c r="C1779" s="320"/>
      <c r="D1779" s="320"/>
      <c r="E1779" s="320"/>
      <c r="F1779" s="320"/>
      <c r="G1779" s="320"/>
      <c r="H1779" s="320"/>
      <c r="I1779" s="320"/>
      <c r="J1779" s="320"/>
      <c r="K1779" s="320"/>
      <c r="L1779" s="320"/>
      <c r="M1779" s="320"/>
      <c r="N1779" s="320"/>
      <c r="O1779" s="321"/>
      <c r="P1779" s="321"/>
    </row>
    <row r="1780" spans="1:16" x14ac:dyDescent="0.15">
      <c r="A1780" s="327"/>
      <c r="B1780" s="320"/>
      <c r="C1780" s="320"/>
      <c r="D1780" s="320"/>
      <c r="E1780" s="320"/>
      <c r="F1780" s="320"/>
      <c r="G1780" s="320"/>
      <c r="H1780" s="320"/>
      <c r="I1780" s="320"/>
      <c r="J1780" s="320"/>
      <c r="K1780" s="320"/>
      <c r="L1780" s="320"/>
      <c r="M1780" s="320"/>
      <c r="N1780" s="320"/>
      <c r="O1780" s="321"/>
      <c r="P1780" s="321"/>
    </row>
    <row r="1781" spans="1:16" x14ac:dyDescent="0.15">
      <c r="A1781" s="327"/>
      <c r="B1781" s="320"/>
      <c r="C1781" s="320"/>
      <c r="D1781" s="320"/>
      <c r="E1781" s="320"/>
      <c r="F1781" s="320"/>
      <c r="G1781" s="320"/>
      <c r="H1781" s="320"/>
      <c r="I1781" s="320"/>
      <c r="J1781" s="320"/>
      <c r="K1781" s="320"/>
      <c r="L1781" s="320"/>
      <c r="M1781" s="320"/>
      <c r="N1781" s="320"/>
      <c r="O1781" s="321"/>
      <c r="P1781" s="321"/>
    </row>
    <row r="1782" spans="1:16" x14ac:dyDescent="0.15">
      <c r="A1782" s="327"/>
      <c r="B1782" s="320"/>
      <c r="C1782" s="320"/>
      <c r="D1782" s="320"/>
      <c r="E1782" s="320"/>
      <c r="F1782" s="320"/>
      <c r="G1782" s="320"/>
      <c r="H1782" s="320"/>
      <c r="I1782" s="320"/>
      <c r="J1782" s="320"/>
      <c r="K1782" s="320"/>
      <c r="L1782" s="320"/>
      <c r="M1782" s="320"/>
      <c r="N1782" s="320"/>
      <c r="O1782" s="321"/>
      <c r="P1782" s="321"/>
    </row>
    <row r="1783" spans="1:16" x14ac:dyDescent="0.15">
      <c r="A1783" s="327"/>
      <c r="B1783" s="320"/>
      <c r="C1783" s="320"/>
      <c r="D1783" s="320"/>
      <c r="E1783" s="320"/>
      <c r="F1783" s="320"/>
      <c r="G1783" s="320"/>
      <c r="H1783" s="320"/>
      <c r="I1783" s="320"/>
      <c r="J1783" s="320"/>
      <c r="K1783" s="320"/>
      <c r="L1783" s="320"/>
      <c r="M1783" s="320"/>
      <c r="N1783" s="320"/>
      <c r="O1783" s="321"/>
      <c r="P1783" s="321"/>
    </row>
    <row r="1784" spans="1:16" x14ac:dyDescent="0.15">
      <c r="A1784" s="327"/>
      <c r="B1784" s="320"/>
      <c r="C1784" s="320"/>
      <c r="D1784" s="320"/>
      <c r="E1784" s="320"/>
      <c r="F1784" s="320"/>
      <c r="G1784" s="320"/>
      <c r="H1784" s="320"/>
      <c r="I1784" s="320"/>
      <c r="J1784" s="320"/>
      <c r="K1784" s="320"/>
      <c r="L1784" s="320"/>
      <c r="M1784" s="320"/>
      <c r="N1784" s="320"/>
      <c r="O1784" s="321"/>
      <c r="P1784" s="321"/>
    </row>
    <row r="1785" spans="1:16" x14ac:dyDescent="0.15">
      <c r="A1785" s="327"/>
      <c r="B1785" s="320"/>
      <c r="C1785" s="320"/>
      <c r="D1785" s="320"/>
      <c r="E1785" s="320"/>
      <c r="F1785" s="320"/>
      <c r="G1785" s="320"/>
      <c r="H1785" s="320"/>
      <c r="I1785" s="320"/>
      <c r="J1785" s="320"/>
      <c r="K1785" s="320"/>
      <c r="L1785" s="320"/>
      <c r="M1785" s="320"/>
      <c r="N1785" s="320"/>
      <c r="O1785" s="321"/>
      <c r="P1785" s="321"/>
    </row>
    <row r="1786" spans="1:16" x14ac:dyDescent="0.15">
      <c r="A1786" s="327"/>
      <c r="B1786" s="320"/>
      <c r="C1786" s="320"/>
      <c r="D1786" s="320"/>
      <c r="E1786" s="320"/>
      <c r="F1786" s="320"/>
      <c r="G1786" s="320"/>
      <c r="H1786" s="320"/>
      <c r="I1786" s="320"/>
      <c r="J1786" s="320"/>
      <c r="K1786" s="320"/>
      <c r="L1786" s="320"/>
      <c r="M1786" s="320"/>
      <c r="N1786" s="320"/>
      <c r="O1786" s="321"/>
      <c r="P1786" s="321"/>
    </row>
    <row r="1787" spans="1:16" x14ac:dyDescent="0.15">
      <c r="A1787" s="327"/>
      <c r="B1787" s="320"/>
      <c r="C1787" s="320"/>
      <c r="D1787" s="320"/>
      <c r="E1787" s="320"/>
      <c r="F1787" s="320"/>
      <c r="G1787" s="320"/>
      <c r="H1787" s="320"/>
      <c r="I1787" s="320"/>
      <c r="J1787" s="320"/>
      <c r="K1787" s="320"/>
      <c r="L1787" s="320"/>
      <c r="M1787" s="320"/>
      <c r="N1787" s="320"/>
      <c r="O1787" s="321"/>
      <c r="P1787" s="321"/>
    </row>
    <row r="1788" spans="1:16" x14ac:dyDescent="0.15">
      <c r="A1788" s="327"/>
      <c r="B1788" s="320"/>
      <c r="C1788" s="320"/>
      <c r="D1788" s="320"/>
      <c r="E1788" s="320"/>
      <c r="F1788" s="320"/>
      <c r="G1788" s="320"/>
      <c r="H1788" s="320"/>
      <c r="I1788" s="320"/>
      <c r="J1788" s="320"/>
      <c r="K1788" s="320"/>
      <c r="L1788" s="320"/>
      <c r="M1788" s="320"/>
      <c r="N1788" s="320"/>
      <c r="O1788" s="321"/>
      <c r="P1788" s="321"/>
    </row>
    <row r="1789" spans="1:16" x14ac:dyDescent="0.15">
      <c r="A1789" s="327"/>
      <c r="B1789" s="320"/>
      <c r="C1789" s="320"/>
      <c r="D1789" s="320"/>
      <c r="E1789" s="320"/>
      <c r="F1789" s="320"/>
      <c r="G1789" s="320"/>
      <c r="H1789" s="320"/>
      <c r="I1789" s="320"/>
      <c r="J1789" s="320"/>
      <c r="K1789" s="320"/>
      <c r="L1789" s="320"/>
      <c r="M1789" s="320"/>
      <c r="N1789" s="320"/>
      <c r="O1789" s="321"/>
      <c r="P1789" s="321"/>
    </row>
    <row r="1790" spans="1:16" x14ac:dyDescent="0.15">
      <c r="A1790" s="327"/>
      <c r="B1790" s="320"/>
      <c r="C1790" s="320"/>
      <c r="D1790" s="320"/>
      <c r="E1790" s="320"/>
      <c r="F1790" s="320"/>
      <c r="G1790" s="320"/>
      <c r="H1790" s="320"/>
      <c r="I1790" s="320"/>
      <c r="J1790" s="320"/>
      <c r="K1790" s="320"/>
      <c r="L1790" s="320"/>
      <c r="M1790" s="320"/>
      <c r="N1790" s="320"/>
      <c r="O1790" s="321"/>
      <c r="P1790" s="321"/>
    </row>
    <row r="1791" spans="1:16" x14ac:dyDescent="0.15">
      <c r="A1791" s="327"/>
      <c r="B1791" s="320"/>
      <c r="C1791" s="320"/>
      <c r="D1791" s="320"/>
      <c r="E1791" s="320"/>
      <c r="F1791" s="320"/>
      <c r="G1791" s="320"/>
      <c r="H1791" s="320"/>
      <c r="I1791" s="320"/>
      <c r="J1791" s="320"/>
      <c r="K1791" s="320"/>
      <c r="L1791" s="320"/>
      <c r="M1791" s="320"/>
      <c r="N1791" s="320"/>
      <c r="O1791" s="321"/>
      <c r="P1791" s="321"/>
    </row>
    <row r="1792" spans="1:16" x14ac:dyDescent="0.15">
      <c r="A1792" s="327"/>
      <c r="B1792" s="320"/>
      <c r="C1792" s="320"/>
      <c r="D1792" s="320"/>
      <c r="E1792" s="320"/>
      <c r="F1792" s="320"/>
      <c r="G1792" s="320"/>
      <c r="H1792" s="320"/>
      <c r="I1792" s="320"/>
      <c r="J1792" s="320"/>
      <c r="K1792" s="320"/>
      <c r="L1792" s="320"/>
      <c r="M1792" s="320"/>
      <c r="N1792" s="320"/>
      <c r="O1792" s="321"/>
      <c r="P1792" s="321"/>
    </row>
    <row r="1793" spans="1:14" x14ac:dyDescent="0.15">
      <c r="A1793" s="327"/>
      <c r="B1793" s="327"/>
      <c r="C1793" s="327"/>
      <c r="D1793" s="327"/>
      <c r="E1793" s="327"/>
      <c r="F1793" s="327"/>
      <c r="G1793" s="320"/>
      <c r="H1793" s="320"/>
      <c r="I1793" s="327"/>
      <c r="J1793" s="327"/>
      <c r="K1793" s="328"/>
      <c r="L1793" s="327"/>
      <c r="M1793" s="327"/>
      <c r="N1793" s="327"/>
    </row>
    <row r="1794" spans="1:14" x14ac:dyDescent="0.15">
      <c r="A1794" s="327"/>
      <c r="B1794" s="327"/>
      <c r="C1794" s="327"/>
      <c r="D1794" s="327"/>
      <c r="E1794" s="327"/>
      <c r="F1794" s="327"/>
      <c r="G1794" s="320"/>
      <c r="H1794" s="320"/>
      <c r="I1794" s="327"/>
      <c r="J1794" s="327"/>
      <c r="K1794" s="328"/>
      <c r="L1794" s="327"/>
      <c r="M1794" s="327"/>
      <c r="N1794" s="327"/>
    </row>
    <row r="1795" spans="1:14" x14ac:dyDescent="0.15">
      <c r="A1795" s="327"/>
      <c r="B1795" s="327"/>
      <c r="C1795" s="327"/>
      <c r="D1795" s="327"/>
      <c r="E1795" s="327"/>
      <c r="F1795" s="327"/>
      <c r="G1795" s="320"/>
      <c r="H1795" s="320"/>
      <c r="I1795" s="327"/>
      <c r="J1795" s="327"/>
      <c r="K1795" s="328"/>
      <c r="L1795" s="327"/>
      <c r="M1795" s="327"/>
      <c r="N1795" s="327"/>
    </row>
    <row r="1796" spans="1:14" x14ac:dyDescent="0.15">
      <c r="A1796" s="327"/>
      <c r="B1796" s="327"/>
      <c r="C1796" s="327"/>
      <c r="D1796" s="327"/>
      <c r="E1796" s="327"/>
      <c r="F1796" s="327"/>
      <c r="G1796" s="320"/>
      <c r="H1796" s="320"/>
      <c r="I1796" s="327"/>
      <c r="J1796" s="327"/>
      <c r="K1796" s="328"/>
      <c r="L1796" s="327"/>
      <c r="M1796" s="327"/>
      <c r="N1796" s="327"/>
    </row>
    <row r="1797" spans="1:14" x14ac:dyDescent="0.15">
      <c r="A1797" s="327"/>
      <c r="B1797" s="327"/>
      <c r="C1797" s="327"/>
      <c r="D1797" s="327"/>
      <c r="E1797" s="327"/>
      <c r="F1797" s="327"/>
      <c r="G1797" s="320"/>
      <c r="H1797" s="320"/>
      <c r="I1797" s="327"/>
      <c r="J1797" s="327"/>
      <c r="K1797" s="328"/>
      <c r="L1797" s="327"/>
      <c r="M1797" s="327"/>
      <c r="N1797" s="327"/>
    </row>
    <row r="1798" spans="1:14" x14ac:dyDescent="0.15">
      <c r="A1798" s="327"/>
      <c r="B1798" s="327"/>
      <c r="C1798" s="327"/>
      <c r="D1798" s="327"/>
      <c r="E1798" s="327"/>
      <c r="F1798" s="327"/>
      <c r="G1798" s="320"/>
      <c r="H1798" s="320"/>
      <c r="I1798" s="327"/>
      <c r="J1798" s="327"/>
      <c r="K1798" s="328"/>
      <c r="L1798" s="327"/>
      <c r="M1798" s="327"/>
      <c r="N1798" s="327"/>
    </row>
    <row r="1799" spans="1:14" x14ac:dyDescent="0.15">
      <c r="A1799" s="327"/>
      <c r="B1799" s="327"/>
      <c r="C1799" s="327"/>
      <c r="D1799" s="327"/>
      <c r="E1799" s="327"/>
      <c r="F1799" s="327"/>
      <c r="G1799" s="320"/>
      <c r="H1799" s="320"/>
      <c r="I1799" s="327"/>
      <c r="J1799" s="327"/>
      <c r="K1799" s="328"/>
      <c r="L1799" s="327"/>
      <c r="M1799" s="327"/>
      <c r="N1799" s="327"/>
    </row>
    <row r="1800" spans="1:14" x14ac:dyDescent="0.15">
      <c r="A1800" s="327"/>
      <c r="B1800" s="327"/>
      <c r="C1800" s="327"/>
      <c r="D1800" s="327"/>
      <c r="E1800" s="327"/>
      <c r="F1800" s="327"/>
      <c r="G1800" s="320"/>
      <c r="H1800" s="320"/>
      <c r="I1800" s="327"/>
      <c r="J1800" s="327"/>
      <c r="K1800" s="328"/>
      <c r="L1800" s="327"/>
      <c r="M1800" s="327"/>
      <c r="N1800" s="327"/>
    </row>
    <row r="1801" spans="1:14" x14ac:dyDescent="0.15">
      <c r="A1801" s="327"/>
      <c r="B1801" s="327"/>
      <c r="C1801" s="327"/>
      <c r="D1801" s="327"/>
      <c r="E1801" s="327"/>
      <c r="F1801" s="327"/>
      <c r="G1801" s="320"/>
      <c r="H1801" s="320"/>
      <c r="I1801" s="327"/>
      <c r="J1801" s="327"/>
      <c r="K1801" s="328"/>
      <c r="L1801" s="327"/>
      <c r="M1801" s="327"/>
      <c r="N1801" s="327"/>
    </row>
    <row r="1802" spans="1:14" x14ac:dyDescent="0.15">
      <c r="A1802" s="327"/>
      <c r="B1802" s="327"/>
      <c r="C1802" s="327"/>
      <c r="D1802" s="327"/>
      <c r="E1802" s="327"/>
      <c r="F1802" s="327"/>
      <c r="G1802" s="320"/>
      <c r="H1802" s="320"/>
      <c r="I1802" s="327"/>
      <c r="J1802" s="327"/>
      <c r="K1802" s="328"/>
      <c r="L1802" s="327"/>
      <c r="M1802" s="327"/>
      <c r="N1802" s="327"/>
    </row>
    <row r="1803" spans="1:14" x14ac:dyDescent="0.15">
      <c r="A1803" s="327"/>
      <c r="B1803" s="327"/>
      <c r="C1803" s="327"/>
      <c r="D1803" s="327"/>
      <c r="E1803" s="327"/>
      <c r="F1803" s="327"/>
      <c r="G1803" s="320"/>
      <c r="H1803" s="320"/>
      <c r="I1803" s="327"/>
      <c r="J1803" s="327"/>
      <c r="K1803" s="328"/>
      <c r="L1803" s="327"/>
      <c r="M1803" s="327"/>
      <c r="N1803" s="327"/>
    </row>
    <row r="1804" spans="1:14" x14ac:dyDescent="0.15">
      <c r="A1804" s="327"/>
      <c r="B1804" s="327"/>
      <c r="C1804" s="327"/>
      <c r="D1804" s="327"/>
      <c r="E1804" s="327"/>
      <c r="F1804" s="327"/>
      <c r="G1804" s="320"/>
      <c r="H1804" s="320"/>
      <c r="I1804" s="327"/>
      <c r="J1804" s="327"/>
      <c r="K1804" s="328"/>
      <c r="L1804" s="327"/>
      <c r="M1804" s="327"/>
      <c r="N1804" s="327"/>
    </row>
    <row r="1805" spans="1:14" x14ac:dyDescent="0.15">
      <c r="A1805" s="327"/>
      <c r="B1805" s="327"/>
      <c r="C1805" s="327"/>
      <c r="D1805" s="327"/>
      <c r="E1805" s="327"/>
      <c r="F1805" s="327"/>
      <c r="G1805" s="320"/>
      <c r="H1805" s="320"/>
      <c r="I1805" s="327"/>
      <c r="J1805" s="327"/>
      <c r="K1805" s="328"/>
      <c r="L1805" s="327"/>
      <c r="M1805" s="327"/>
      <c r="N1805" s="327"/>
    </row>
    <row r="1806" spans="1:14" x14ac:dyDescent="0.15">
      <c r="A1806" s="327"/>
      <c r="B1806" s="327"/>
      <c r="C1806" s="327"/>
      <c r="D1806" s="327"/>
      <c r="E1806" s="327"/>
      <c r="F1806" s="327"/>
      <c r="G1806" s="320"/>
      <c r="H1806" s="320"/>
      <c r="I1806" s="327"/>
      <c r="J1806" s="327"/>
      <c r="K1806" s="328"/>
      <c r="L1806" s="327"/>
      <c r="M1806" s="327"/>
      <c r="N1806" s="327"/>
    </row>
    <row r="1807" spans="1:14" x14ac:dyDescent="0.15">
      <c r="A1807" s="327"/>
      <c r="B1807" s="327"/>
      <c r="C1807" s="327"/>
      <c r="D1807" s="327"/>
      <c r="E1807" s="327"/>
      <c r="F1807" s="327"/>
      <c r="G1807" s="320"/>
      <c r="H1807" s="320"/>
      <c r="I1807" s="327"/>
      <c r="J1807" s="327"/>
      <c r="K1807" s="328"/>
      <c r="L1807" s="327"/>
      <c r="M1807" s="327"/>
      <c r="N1807" s="327"/>
    </row>
    <row r="1808" spans="1:14" x14ac:dyDescent="0.15">
      <c r="A1808" s="327"/>
      <c r="B1808" s="327"/>
      <c r="C1808" s="327"/>
      <c r="D1808" s="327"/>
      <c r="E1808" s="327"/>
      <c r="F1808" s="327"/>
      <c r="G1808" s="320"/>
      <c r="H1808" s="320"/>
      <c r="I1808" s="327"/>
      <c r="J1808" s="327"/>
      <c r="K1808" s="328"/>
      <c r="L1808" s="327"/>
      <c r="M1808" s="327"/>
      <c r="N1808" s="327"/>
    </row>
    <row r="1809" spans="1:14" x14ac:dyDescent="0.15">
      <c r="A1809" s="327"/>
      <c r="B1809" s="327"/>
      <c r="C1809" s="327"/>
      <c r="D1809" s="327"/>
      <c r="E1809" s="327"/>
      <c r="F1809" s="327"/>
      <c r="G1809" s="320"/>
      <c r="H1809" s="320"/>
      <c r="I1809" s="327"/>
      <c r="J1809" s="327"/>
      <c r="K1809" s="328"/>
      <c r="L1809" s="327"/>
      <c r="M1809" s="327"/>
      <c r="N1809" s="327"/>
    </row>
    <row r="1810" spans="1:14" x14ac:dyDescent="0.15">
      <c r="A1810" s="327"/>
      <c r="B1810" s="327"/>
      <c r="C1810" s="327"/>
      <c r="D1810" s="327"/>
      <c r="E1810" s="327"/>
      <c r="F1810" s="327"/>
      <c r="G1810" s="320"/>
      <c r="H1810" s="320"/>
      <c r="I1810" s="327"/>
      <c r="J1810" s="327"/>
      <c r="K1810" s="328"/>
      <c r="L1810" s="327"/>
      <c r="M1810" s="327"/>
      <c r="N1810" s="327"/>
    </row>
    <row r="1811" spans="1:14" x14ac:dyDescent="0.15">
      <c r="A1811" s="327"/>
      <c r="B1811" s="327"/>
      <c r="C1811" s="327"/>
      <c r="D1811" s="327"/>
      <c r="E1811" s="327"/>
      <c r="F1811" s="327"/>
      <c r="G1811" s="320"/>
      <c r="H1811" s="320"/>
      <c r="I1811" s="327"/>
      <c r="J1811" s="327"/>
      <c r="K1811" s="328"/>
      <c r="L1811" s="327"/>
      <c r="M1811" s="327"/>
      <c r="N1811" s="327"/>
    </row>
    <row r="1812" spans="1:14" x14ac:dyDescent="0.15">
      <c r="A1812" s="327"/>
      <c r="B1812" s="327"/>
      <c r="C1812" s="327"/>
      <c r="D1812" s="327"/>
      <c r="E1812" s="327"/>
      <c r="F1812" s="327"/>
      <c r="G1812" s="320"/>
      <c r="H1812" s="320"/>
      <c r="I1812" s="327"/>
      <c r="J1812" s="327"/>
      <c r="K1812" s="328"/>
      <c r="L1812" s="327"/>
      <c r="M1812" s="327"/>
      <c r="N1812" s="327"/>
    </row>
    <row r="1813" spans="1:14" x14ac:dyDescent="0.15">
      <c r="A1813" s="327"/>
      <c r="B1813" s="327"/>
      <c r="C1813" s="327"/>
      <c r="D1813" s="327"/>
      <c r="E1813" s="327"/>
      <c r="F1813" s="327"/>
      <c r="G1813" s="320"/>
      <c r="H1813" s="320"/>
      <c r="I1813" s="327"/>
      <c r="J1813" s="327"/>
      <c r="K1813" s="328"/>
      <c r="L1813" s="327"/>
      <c r="M1813" s="327"/>
      <c r="N1813" s="327"/>
    </row>
    <row r="1814" spans="1:14" x14ac:dyDescent="0.15">
      <c r="A1814" s="327"/>
      <c r="B1814" s="327"/>
      <c r="C1814" s="327"/>
      <c r="D1814" s="327"/>
      <c r="E1814" s="327"/>
      <c r="F1814" s="327"/>
      <c r="G1814" s="320"/>
      <c r="H1814" s="320"/>
      <c r="I1814" s="327"/>
      <c r="J1814" s="327"/>
      <c r="K1814" s="328"/>
      <c r="L1814" s="327"/>
      <c r="M1814" s="327"/>
      <c r="N1814" s="327"/>
    </row>
    <row r="1815" spans="1:14" x14ac:dyDescent="0.15">
      <c r="A1815" s="327"/>
      <c r="B1815" s="327"/>
      <c r="C1815" s="327"/>
      <c r="D1815" s="327"/>
      <c r="E1815" s="327"/>
      <c r="F1815" s="327"/>
      <c r="G1815" s="320"/>
      <c r="H1815" s="320"/>
      <c r="I1815" s="327"/>
      <c r="J1815" s="327"/>
      <c r="K1815" s="328"/>
      <c r="L1815" s="327"/>
      <c r="M1815" s="327"/>
      <c r="N1815" s="327"/>
    </row>
    <row r="1816" spans="1:14" x14ac:dyDescent="0.15">
      <c r="A1816" s="327"/>
      <c r="B1816" s="327"/>
      <c r="C1816" s="327"/>
      <c r="D1816" s="327"/>
      <c r="E1816" s="327"/>
      <c r="F1816" s="327"/>
      <c r="G1816" s="320"/>
      <c r="H1816" s="320"/>
      <c r="I1816" s="327"/>
      <c r="J1816" s="327"/>
      <c r="K1816" s="328"/>
      <c r="L1816" s="327"/>
      <c r="M1816" s="327"/>
      <c r="N1816" s="327"/>
    </row>
    <row r="1817" spans="1:14" x14ac:dyDescent="0.15">
      <c r="A1817" s="327"/>
      <c r="B1817" s="327"/>
      <c r="C1817" s="327"/>
      <c r="D1817" s="327"/>
      <c r="E1817" s="327"/>
      <c r="F1817" s="327"/>
      <c r="G1817" s="320"/>
      <c r="H1817" s="320"/>
      <c r="I1817" s="327"/>
      <c r="J1817" s="327"/>
      <c r="K1817" s="328"/>
      <c r="L1817" s="327"/>
      <c r="M1817" s="327"/>
      <c r="N1817" s="327"/>
    </row>
    <row r="1818" spans="1:14" x14ac:dyDescent="0.15">
      <c r="A1818" s="327"/>
      <c r="B1818" s="327"/>
      <c r="C1818" s="327"/>
      <c r="D1818" s="327"/>
      <c r="E1818" s="327"/>
      <c r="F1818" s="327"/>
      <c r="G1818" s="320"/>
      <c r="H1818" s="320"/>
      <c r="I1818" s="327"/>
      <c r="J1818" s="327"/>
      <c r="K1818" s="328"/>
      <c r="L1818" s="327"/>
      <c r="M1818" s="327"/>
      <c r="N1818" s="327"/>
    </row>
    <row r="1819" spans="1:14" x14ac:dyDescent="0.15">
      <c r="A1819" s="327"/>
      <c r="B1819" s="327"/>
      <c r="C1819" s="327"/>
      <c r="D1819" s="327"/>
      <c r="E1819" s="327"/>
      <c r="F1819" s="327"/>
      <c r="G1819" s="320"/>
      <c r="H1819" s="320"/>
      <c r="I1819" s="327"/>
      <c r="J1819" s="327"/>
      <c r="K1819" s="328"/>
      <c r="L1819" s="327"/>
      <c r="M1819" s="327"/>
      <c r="N1819" s="327"/>
    </row>
    <row r="1820" spans="1:14" x14ac:dyDescent="0.15">
      <c r="A1820" s="327"/>
      <c r="B1820" s="327"/>
      <c r="C1820" s="327"/>
      <c r="D1820" s="327"/>
      <c r="E1820" s="327"/>
      <c r="F1820" s="327"/>
      <c r="G1820" s="320"/>
      <c r="H1820" s="320"/>
      <c r="I1820" s="327"/>
      <c r="J1820" s="327"/>
      <c r="K1820" s="328"/>
      <c r="L1820" s="327"/>
      <c r="M1820" s="327"/>
      <c r="N1820" s="327"/>
    </row>
    <row r="1821" spans="1:14" x14ac:dyDescent="0.15">
      <c r="A1821" s="327"/>
      <c r="B1821" s="327"/>
      <c r="C1821" s="327"/>
      <c r="D1821" s="327"/>
      <c r="E1821" s="327"/>
      <c r="F1821" s="327"/>
      <c r="G1821" s="320"/>
      <c r="H1821" s="320"/>
      <c r="I1821" s="327"/>
      <c r="J1821" s="327"/>
      <c r="K1821" s="328"/>
      <c r="L1821" s="327"/>
      <c r="M1821" s="327"/>
      <c r="N1821" s="327"/>
    </row>
    <row r="1822" spans="1:14" x14ac:dyDescent="0.15">
      <c r="A1822" s="327"/>
      <c r="B1822" s="327"/>
      <c r="C1822" s="327"/>
      <c r="D1822" s="327"/>
      <c r="E1822" s="327"/>
      <c r="F1822" s="327"/>
      <c r="G1822" s="320"/>
      <c r="H1822" s="320"/>
      <c r="I1822" s="327"/>
      <c r="J1822" s="327"/>
      <c r="K1822" s="328"/>
      <c r="L1822" s="327"/>
      <c r="M1822" s="327"/>
      <c r="N1822" s="327"/>
    </row>
    <row r="1823" spans="1:14" x14ac:dyDescent="0.15">
      <c r="A1823" s="327"/>
      <c r="B1823" s="327"/>
      <c r="C1823" s="327"/>
      <c r="D1823" s="327"/>
      <c r="E1823" s="327"/>
      <c r="F1823" s="327"/>
      <c r="G1823" s="320"/>
      <c r="H1823" s="320"/>
      <c r="I1823" s="327"/>
      <c r="J1823" s="327"/>
      <c r="K1823" s="328"/>
      <c r="L1823" s="327"/>
      <c r="M1823" s="327"/>
      <c r="N1823" s="327"/>
    </row>
    <row r="1824" spans="1:14" x14ac:dyDescent="0.15">
      <c r="A1824" s="327"/>
      <c r="B1824" s="327"/>
      <c r="C1824" s="327"/>
      <c r="D1824" s="327"/>
      <c r="E1824" s="327"/>
      <c r="F1824" s="327"/>
      <c r="G1824" s="320"/>
      <c r="H1824" s="320"/>
      <c r="I1824" s="327"/>
      <c r="J1824" s="327"/>
      <c r="K1824" s="328"/>
      <c r="L1824" s="327"/>
      <c r="M1824" s="327"/>
      <c r="N1824" s="327"/>
    </row>
    <row r="1825" spans="1:14" x14ac:dyDescent="0.15">
      <c r="A1825" s="327"/>
      <c r="B1825" s="327"/>
      <c r="C1825" s="327"/>
      <c r="D1825" s="327"/>
      <c r="E1825" s="327"/>
      <c r="F1825" s="327"/>
      <c r="G1825" s="320"/>
      <c r="H1825" s="320"/>
      <c r="I1825" s="327"/>
      <c r="J1825" s="327"/>
      <c r="K1825" s="328"/>
      <c r="L1825" s="327"/>
      <c r="M1825" s="327"/>
      <c r="N1825" s="327"/>
    </row>
    <row r="1826" spans="1:14" x14ac:dyDescent="0.15">
      <c r="A1826" s="327"/>
      <c r="B1826" s="327"/>
      <c r="C1826" s="327"/>
      <c r="D1826" s="327"/>
      <c r="E1826" s="327"/>
      <c r="F1826" s="327"/>
      <c r="G1826" s="320"/>
      <c r="H1826" s="320"/>
      <c r="I1826" s="327"/>
      <c r="J1826" s="327"/>
      <c r="K1826" s="328"/>
      <c r="L1826" s="327"/>
      <c r="M1826" s="327"/>
      <c r="N1826" s="327"/>
    </row>
    <row r="1827" spans="1:14" x14ac:dyDescent="0.15">
      <c r="A1827" s="327"/>
      <c r="B1827" s="327"/>
      <c r="C1827" s="327"/>
      <c r="D1827" s="327"/>
      <c r="E1827" s="327"/>
      <c r="F1827" s="327"/>
      <c r="G1827" s="320"/>
      <c r="H1827" s="320"/>
      <c r="I1827" s="327"/>
      <c r="J1827" s="327"/>
      <c r="K1827" s="328"/>
      <c r="L1827" s="327"/>
      <c r="M1827" s="327"/>
      <c r="N1827" s="327"/>
    </row>
    <row r="1828" spans="1:14" x14ac:dyDescent="0.15">
      <c r="A1828" s="327"/>
      <c r="B1828" s="327"/>
      <c r="C1828" s="327"/>
      <c r="D1828" s="327"/>
      <c r="E1828" s="327"/>
      <c r="F1828" s="327"/>
      <c r="G1828" s="320"/>
      <c r="H1828" s="320"/>
      <c r="I1828" s="327"/>
      <c r="J1828" s="327"/>
      <c r="K1828" s="328"/>
      <c r="L1828" s="327"/>
      <c r="M1828" s="327"/>
      <c r="N1828" s="327"/>
    </row>
    <row r="1829" spans="1:14" x14ac:dyDescent="0.15">
      <c r="A1829" s="327"/>
      <c r="B1829" s="327"/>
      <c r="C1829" s="327"/>
      <c r="D1829" s="327"/>
      <c r="E1829" s="327"/>
      <c r="F1829" s="327"/>
      <c r="G1829" s="320"/>
      <c r="H1829" s="320"/>
      <c r="I1829" s="327"/>
      <c r="J1829" s="327"/>
      <c r="K1829" s="328"/>
      <c r="L1829" s="327"/>
      <c r="M1829" s="327"/>
      <c r="N1829" s="327"/>
    </row>
    <row r="1830" spans="1:14" x14ac:dyDescent="0.15">
      <c r="A1830" s="327"/>
      <c r="B1830" s="327"/>
      <c r="C1830" s="327"/>
      <c r="D1830" s="327"/>
      <c r="E1830" s="327"/>
      <c r="F1830" s="327"/>
      <c r="G1830" s="320"/>
      <c r="H1830" s="320"/>
      <c r="I1830" s="327"/>
      <c r="J1830" s="327"/>
      <c r="K1830" s="328"/>
      <c r="L1830" s="327"/>
      <c r="M1830" s="327"/>
      <c r="N1830" s="327"/>
    </row>
    <row r="1831" spans="1:14" x14ac:dyDescent="0.15">
      <c r="A1831" s="327"/>
      <c r="B1831" s="327"/>
      <c r="C1831" s="327"/>
      <c r="D1831" s="327"/>
      <c r="E1831" s="327"/>
      <c r="F1831" s="327"/>
      <c r="G1831" s="320"/>
      <c r="H1831" s="320"/>
      <c r="I1831" s="327"/>
      <c r="J1831" s="327"/>
      <c r="K1831" s="328"/>
      <c r="L1831" s="327"/>
      <c r="M1831" s="327"/>
      <c r="N1831" s="327"/>
    </row>
    <row r="1832" spans="1:14" x14ac:dyDescent="0.15">
      <c r="A1832" s="327"/>
      <c r="B1832" s="327"/>
      <c r="C1832" s="327"/>
      <c r="D1832" s="327"/>
      <c r="E1832" s="327"/>
      <c r="F1832" s="327"/>
      <c r="G1832" s="320"/>
      <c r="H1832" s="320"/>
      <c r="I1832" s="327"/>
      <c r="J1832" s="327"/>
      <c r="K1832" s="328"/>
      <c r="L1832" s="327"/>
      <c r="M1832" s="327"/>
      <c r="N1832" s="327"/>
    </row>
    <row r="1833" spans="1:14" x14ac:dyDescent="0.15">
      <c r="A1833" s="327"/>
      <c r="B1833" s="327"/>
      <c r="C1833" s="327"/>
      <c r="D1833" s="327"/>
      <c r="E1833" s="327"/>
      <c r="F1833" s="327"/>
      <c r="G1833" s="320"/>
      <c r="H1833" s="320"/>
      <c r="I1833" s="327"/>
      <c r="J1833" s="327"/>
      <c r="K1833" s="328"/>
      <c r="L1833" s="327"/>
      <c r="M1833" s="327"/>
      <c r="N1833" s="327"/>
    </row>
    <row r="1834" spans="1:14" x14ac:dyDescent="0.15">
      <c r="A1834" s="327"/>
      <c r="B1834" s="327"/>
      <c r="C1834" s="327"/>
      <c r="D1834" s="327"/>
      <c r="E1834" s="327"/>
      <c r="F1834" s="327"/>
      <c r="G1834" s="320"/>
      <c r="H1834" s="320"/>
      <c r="I1834" s="327"/>
      <c r="J1834" s="327"/>
      <c r="K1834" s="328"/>
      <c r="L1834" s="327"/>
      <c r="M1834" s="327"/>
      <c r="N1834" s="327"/>
    </row>
    <row r="1835" spans="1:14" x14ac:dyDescent="0.15">
      <c r="A1835" s="327"/>
      <c r="B1835" s="327"/>
      <c r="C1835" s="327"/>
      <c r="D1835" s="327"/>
      <c r="E1835" s="327"/>
      <c r="F1835" s="327"/>
      <c r="G1835" s="320"/>
      <c r="H1835" s="320"/>
      <c r="I1835" s="327"/>
      <c r="J1835" s="327"/>
      <c r="K1835" s="328"/>
      <c r="L1835" s="327"/>
      <c r="M1835" s="327"/>
      <c r="N1835" s="327"/>
    </row>
    <row r="1836" spans="1:14" x14ac:dyDescent="0.15">
      <c r="A1836" s="327"/>
      <c r="B1836" s="327"/>
      <c r="C1836" s="327"/>
      <c r="D1836" s="327"/>
      <c r="E1836" s="327"/>
      <c r="F1836" s="327"/>
      <c r="G1836" s="320"/>
      <c r="H1836" s="320"/>
      <c r="I1836" s="327"/>
      <c r="J1836" s="327"/>
      <c r="K1836" s="328"/>
      <c r="L1836" s="327"/>
      <c r="M1836" s="327"/>
      <c r="N1836" s="327"/>
    </row>
    <row r="1837" spans="1:14" x14ac:dyDescent="0.15">
      <c r="A1837" s="327"/>
      <c r="B1837" s="327"/>
      <c r="C1837" s="327"/>
      <c r="D1837" s="327"/>
      <c r="E1837" s="327"/>
      <c r="F1837" s="327"/>
      <c r="G1837" s="320"/>
      <c r="H1837" s="320"/>
      <c r="I1837" s="327"/>
      <c r="J1837" s="327"/>
      <c r="K1837" s="328"/>
      <c r="L1837" s="327"/>
      <c r="M1837" s="327"/>
      <c r="N1837" s="327"/>
    </row>
    <row r="1838" spans="1:14" x14ac:dyDescent="0.15">
      <c r="A1838" s="327"/>
      <c r="B1838" s="327"/>
      <c r="C1838" s="327"/>
      <c r="D1838" s="327"/>
      <c r="E1838" s="327"/>
      <c r="F1838" s="327"/>
      <c r="G1838" s="320"/>
      <c r="H1838" s="320"/>
      <c r="I1838" s="327"/>
      <c r="J1838" s="327"/>
      <c r="K1838" s="328"/>
      <c r="L1838" s="327"/>
      <c r="M1838" s="327"/>
      <c r="N1838" s="327"/>
    </row>
    <row r="1839" spans="1:14" x14ac:dyDescent="0.15">
      <c r="A1839" s="327"/>
      <c r="B1839" s="327"/>
      <c r="C1839" s="327"/>
      <c r="D1839" s="327"/>
      <c r="E1839" s="327"/>
      <c r="F1839" s="327"/>
      <c r="G1839" s="320"/>
      <c r="H1839" s="320"/>
      <c r="I1839" s="327"/>
      <c r="J1839" s="327"/>
      <c r="K1839" s="328"/>
      <c r="L1839" s="327"/>
      <c r="M1839" s="327"/>
      <c r="N1839" s="327"/>
    </row>
    <row r="1840" spans="1:14" x14ac:dyDescent="0.15">
      <c r="A1840" s="327"/>
      <c r="B1840" s="327"/>
      <c r="C1840" s="327"/>
      <c r="D1840" s="327"/>
      <c r="E1840" s="327"/>
      <c r="F1840" s="327"/>
      <c r="G1840" s="320"/>
      <c r="H1840" s="320"/>
      <c r="I1840" s="327"/>
      <c r="J1840" s="327"/>
      <c r="K1840" s="328"/>
      <c r="L1840" s="327"/>
      <c r="M1840" s="327"/>
      <c r="N1840" s="327"/>
    </row>
    <row r="1841" spans="1:14" x14ac:dyDescent="0.15">
      <c r="A1841" s="327"/>
      <c r="B1841" s="327"/>
      <c r="C1841" s="327"/>
      <c r="D1841" s="327"/>
      <c r="E1841" s="327"/>
      <c r="F1841" s="327"/>
      <c r="G1841" s="320"/>
      <c r="H1841" s="320"/>
      <c r="I1841" s="327"/>
      <c r="J1841" s="327"/>
      <c r="K1841" s="328"/>
      <c r="L1841" s="327"/>
      <c r="M1841" s="327"/>
      <c r="N1841" s="327"/>
    </row>
    <row r="1842" spans="1:14" x14ac:dyDescent="0.15">
      <c r="A1842" s="327"/>
      <c r="B1842" s="327"/>
      <c r="C1842" s="327"/>
      <c r="D1842" s="327"/>
      <c r="E1842" s="327"/>
      <c r="F1842" s="327"/>
      <c r="G1842" s="320"/>
      <c r="H1842" s="320"/>
      <c r="I1842" s="327"/>
      <c r="J1842" s="327"/>
      <c r="K1842" s="328"/>
      <c r="L1842" s="327"/>
      <c r="M1842" s="327"/>
      <c r="N1842" s="327"/>
    </row>
    <row r="1843" spans="1:14" x14ac:dyDescent="0.15">
      <c r="A1843" s="327"/>
      <c r="B1843" s="327"/>
      <c r="C1843" s="327"/>
      <c r="D1843" s="327"/>
      <c r="E1843" s="327"/>
      <c r="F1843" s="327"/>
      <c r="G1843" s="320"/>
      <c r="H1843" s="320"/>
      <c r="I1843" s="327"/>
      <c r="J1843" s="327"/>
      <c r="K1843" s="328"/>
      <c r="L1843" s="327"/>
      <c r="M1843" s="327"/>
      <c r="N1843" s="327"/>
    </row>
    <row r="1844" spans="1:14" x14ac:dyDescent="0.15">
      <c r="A1844" s="327"/>
      <c r="B1844" s="327"/>
      <c r="C1844" s="327"/>
      <c r="D1844" s="327"/>
      <c r="E1844" s="327"/>
      <c r="F1844" s="327"/>
      <c r="G1844" s="320"/>
      <c r="H1844" s="320"/>
      <c r="I1844" s="327"/>
      <c r="J1844" s="327"/>
      <c r="K1844" s="328"/>
      <c r="L1844" s="327"/>
      <c r="M1844" s="327"/>
      <c r="N1844" s="327"/>
    </row>
    <row r="1845" spans="1:14" x14ac:dyDescent="0.15">
      <c r="A1845" s="327"/>
      <c r="B1845" s="327"/>
      <c r="C1845" s="327"/>
      <c r="D1845" s="327"/>
      <c r="E1845" s="327"/>
      <c r="F1845" s="327"/>
      <c r="G1845" s="320"/>
      <c r="H1845" s="320"/>
      <c r="I1845" s="327"/>
      <c r="J1845" s="327"/>
      <c r="K1845" s="328"/>
      <c r="L1845" s="327"/>
      <c r="M1845" s="327"/>
      <c r="N1845" s="327"/>
    </row>
    <row r="1846" spans="1:14" x14ac:dyDescent="0.15">
      <c r="A1846" s="327"/>
      <c r="B1846" s="327"/>
      <c r="C1846" s="327"/>
      <c r="D1846" s="327"/>
      <c r="E1846" s="327"/>
      <c r="F1846" s="327"/>
      <c r="G1846" s="320"/>
      <c r="H1846" s="320"/>
      <c r="I1846" s="327"/>
      <c r="J1846" s="327"/>
      <c r="K1846" s="328"/>
      <c r="L1846" s="327"/>
      <c r="M1846" s="327"/>
      <c r="N1846" s="327"/>
    </row>
    <row r="1847" spans="1:14" x14ac:dyDescent="0.15">
      <c r="A1847" s="327"/>
      <c r="B1847" s="327"/>
      <c r="C1847" s="327"/>
      <c r="D1847" s="327"/>
      <c r="E1847" s="327"/>
      <c r="F1847" s="327"/>
      <c r="G1847" s="320"/>
      <c r="H1847" s="320"/>
      <c r="I1847" s="327"/>
      <c r="J1847" s="327"/>
      <c r="K1847" s="328"/>
      <c r="L1847" s="327"/>
      <c r="M1847" s="327"/>
      <c r="N1847" s="327"/>
    </row>
    <row r="1848" spans="1:14" x14ac:dyDescent="0.15">
      <c r="A1848" s="327"/>
      <c r="B1848" s="327"/>
      <c r="C1848" s="327"/>
      <c r="D1848" s="327"/>
      <c r="E1848" s="327"/>
      <c r="F1848" s="327"/>
      <c r="G1848" s="320"/>
      <c r="H1848" s="320"/>
      <c r="I1848" s="327"/>
      <c r="J1848" s="327"/>
      <c r="K1848" s="328"/>
      <c r="L1848" s="327"/>
      <c r="M1848" s="327"/>
      <c r="N1848" s="327"/>
    </row>
    <row r="1849" spans="1:14" x14ac:dyDescent="0.15">
      <c r="A1849" s="327"/>
      <c r="B1849" s="327"/>
      <c r="C1849" s="327"/>
      <c r="D1849" s="327"/>
      <c r="E1849" s="327"/>
      <c r="F1849" s="327"/>
      <c r="G1849" s="320"/>
      <c r="H1849" s="320"/>
      <c r="I1849" s="327"/>
      <c r="J1849" s="327"/>
      <c r="K1849" s="328"/>
      <c r="L1849" s="327"/>
      <c r="M1849" s="327"/>
      <c r="N1849" s="327"/>
    </row>
    <row r="1850" spans="1:14" x14ac:dyDescent="0.15">
      <c r="A1850" s="327"/>
      <c r="B1850" s="327"/>
      <c r="C1850" s="327"/>
      <c r="D1850" s="327"/>
      <c r="E1850" s="327"/>
      <c r="F1850" s="327"/>
      <c r="G1850" s="320"/>
      <c r="H1850" s="320"/>
      <c r="I1850" s="327"/>
      <c r="J1850" s="327"/>
      <c r="K1850" s="328"/>
      <c r="L1850" s="327"/>
      <c r="M1850" s="327"/>
      <c r="N1850" s="327"/>
    </row>
    <row r="1851" spans="1:14" x14ac:dyDescent="0.15">
      <c r="A1851" s="327"/>
      <c r="B1851" s="327"/>
      <c r="C1851" s="327"/>
      <c r="D1851" s="327"/>
      <c r="E1851" s="327"/>
      <c r="F1851" s="327"/>
      <c r="G1851" s="320"/>
      <c r="H1851" s="320"/>
      <c r="I1851" s="327"/>
      <c r="J1851" s="327"/>
      <c r="K1851" s="328"/>
      <c r="L1851" s="327"/>
      <c r="M1851" s="327"/>
      <c r="N1851" s="327"/>
    </row>
    <row r="1852" spans="1:14" x14ac:dyDescent="0.15">
      <c r="A1852" s="327"/>
      <c r="B1852" s="327"/>
      <c r="C1852" s="327"/>
      <c r="D1852" s="327"/>
      <c r="E1852" s="327"/>
      <c r="F1852" s="327"/>
      <c r="G1852" s="320"/>
      <c r="H1852" s="320"/>
      <c r="I1852" s="327"/>
      <c r="J1852" s="327"/>
      <c r="K1852" s="328"/>
      <c r="L1852" s="327"/>
      <c r="M1852" s="327"/>
      <c r="N1852" s="327"/>
    </row>
    <row r="1853" spans="1:14" x14ac:dyDescent="0.15">
      <c r="A1853" s="327"/>
      <c r="B1853" s="327"/>
      <c r="C1853" s="327"/>
      <c r="D1853" s="327"/>
      <c r="E1853" s="327"/>
      <c r="F1853" s="327"/>
      <c r="G1853" s="320"/>
      <c r="H1853" s="320"/>
      <c r="I1853" s="327"/>
      <c r="J1853" s="327"/>
      <c r="K1853" s="328"/>
      <c r="L1853" s="327"/>
      <c r="M1853" s="327"/>
      <c r="N1853" s="327"/>
    </row>
    <row r="1854" spans="1:14" x14ac:dyDescent="0.15">
      <c r="A1854" s="327"/>
      <c r="B1854" s="327"/>
      <c r="C1854" s="327"/>
      <c r="D1854" s="327"/>
      <c r="E1854" s="327"/>
      <c r="F1854" s="327"/>
      <c r="G1854" s="320"/>
      <c r="H1854" s="320"/>
      <c r="I1854" s="327"/>
      <c r="J1854" s="327"/>
      <c r="K1854" s="328"/>
      <c r="L1854" s="327"/>
      <c r="M1854" s="327"/>
      <c r="N1854" s="327"/>
    </row>
    <row r="1855" spans="1:14" x14ac:dyDescent="0.15">
      <c r="A1855" s="327"/>
      <c r="B1855" s="327"/>
      <c r="C1855" s="327"/>
      <c r="D1855" s="327"/>
      <c r="E1855" s="327"/>
      <c r="F1855" s="327"/>
      <c r="G1855" s="320"/>
      <c r="H1855" s="320"/>
      <c r="I1855" s="327"/>
      <c r="J1855" s="327"/>
      <c r="K1855" s="328"/>
      <c r="L1855" s="327"/>
      <c r="M1855" s="327"/>
      <c r="N1855" s="327"/>
    </row>
    <row r="1856" spans="1:14" x14ac:dyDescent="0.15">
      <c r="A1856" s="327"/>
      <c r="B1856" s="327"/>
      <c r="C1856" s="327"/>
      <c r="D1856" s="327"/>
      <c r="E1856" s="327"/>
      <c r="F1856" s="327"/>
      <c r="G1856" s="320"/>
      <c r="H1856" s="320"/>
      <c r="I1856" s="327"/>
      <c r="J1856" s="327"/>
      <c r="K1856" s="328"/>
      <c r="L1856" s="327"/>
      <c r="M1856" s="327"/>
      <c r="N1856" s="327"/>
    </row>
    <row r="1857" spans="1:14" x14ac:dyDescent="0.15">
      <c r="A1857" s="327"/>
      <c r="B1857" s="327"/>
      <c r="C1857" s="327"/>
      <c r="D1857" s="327"/>
      <c r="E1857" s="327"/>
      <c r="F1857" s="327"/>
      <c r="G1857" s="320"/>
      <c r="H1857" s="320"/>
      <c r="I1857" s="327"/>
      <c r="J1857" s="327"/>
      <c r="K1857" s="328"/>
      <c r="L1857" s="327"/>
      <c r="M1857" s="327"/>
      <c r="N1857" s="327"/>
    </row>
    <row r="1858" spans="1:14" x14ac:dyDescent="0.15">
      <c r="A1858" s="327"/>
      <c r="B1858" s="327"/>
      <c r="C1858" s="327"/>
      <c r="D1858" s="327"/>
      <c r="E1858" s="327"/>
      <c r="F1858" s="327"/>
      <c r="G1858" s="320"/>
      <c r="H1858" s="320"/>
      <c r="I1858" s="327"/>
      <c r="J1858" s="327"/>
      <c r="K1858" s="328"/>
      <c r="L1858" s="327"/>
      <c r="M1858" s="327"/>
      <c r="N1858" s="327"/>
    </row>
    <row r="1859" spans="1:14" x14ac:dyDescent="0.15">
      <c r="A1859" s="327"/>
      <c r="B1859" s="327"/>
      <c r="C1859" s="327"/>
      <c r="D1859" s="327"/>
      <c r="E1859" s="327"/>
      <c r="F1859" s="327"/>
      <c r="G1859" s="320"/>
      <c r="H1859" s="320"/>
      <c r="I1859" s="327"/>
      <c r="J1859" s="327"/>
      <c r="K1859" s="328"/>
      <c r="L1859" s="327"/>
      <c r="M1859" s="327"/>
      <c r="N1859" s="327"/>
    </row>
    <row r="1860" spans="1:14" x14ac:dyDescent="0.15">
      <c r="A1860" s="327"/>
      <c r="B1860" s="327"/>
      <c r="C1860" s="327"/>
      <c r="D1860" s="327"/>
      <c r="E1860" s="327"/>
      <c r="F1860" s="327"/>
      <c r="G1860" s="320"/>
      <c r="H1860" s="320"/>
      <c r="I1860" s="327"/>
      <c r="J1860" s="327"/>
      <c r="K1860" s="328"/>
      <c r="L1860" s="327"/>
      <c r="M1860" s="327"/>
      <c r="N1860" s="327"/>
    </row>
    <row r="1861" spans="1:14" x14ac:dyDescent="0.15">
      <c r="A1861" s="327"/>
      <c r="B1861" s="327"/>
      <c r="C1861" s="327"/>
      <c r="D1861" s="327"/>
      <c r="E1861" s="327"/>
      <c r="F1861" s="327"/>
      <c r="G1861" s="320"/>
      <c r="H1861" s="320"/>
      <c r="I1861" s="327"/>
      <c r="J1861" s="327"/>
      <c r="K1861" s="328"/>
      <c r="L1861" s="327"/>
      <c r="M1861" s="327"/>
      <c r="N1861" s="327"/>
    </row>
    <row r="1862" spans="1:14" x14ac:dyDescent="0.15">
      <c r="A1862" s="327"/>
      <c r="B1862" s="327"/>
      <c r="C1862" s="327"/>
      <c r="D1862" s="327"/>
      <c r="E1862" s="327"/>
      <c r="F1862" s="327"/>
      <c r="G1862" s="320"/>
      <c r="H1862" s="320"/>
      <c r="I1862" s="327"/>
      <c r="J1862" s="327"/>
      <c r="K1862" s="328"/>
      <c r="L1862" s="327"/>
      <c r="M1862" s="327"/>
      <c r="N1862" s="327"/>
    </row>
    <row r="1863" spans="1:14" x14ac:dyDescent="0.15">
      <c r="A1863" s="327"/>
      <c r="B1863" s="327"/>
      <c r="C1863" s="327"/>
      <c r="D1863" s="327"/>
      <c r="E1863" s="327"/>
      <c r="F1863" s="327"/>
      <c r="G1863" s="320"/>
      <c r="H1863" s="320"/>
      <c r="I1863" s="327"/>
      <c r="J1863" s="327"/>
      <c r="K1863" s="328"/>
      <c r="L1863" s="327"/>
      <c r="M1863" s="327"/>
      <c r="N1863" s="327"/>
    </row>
    <row r="1864" spans="1:14" x14ac:dyDescent="0.15">
      <c r="A1864" s="327"/>
      <c r="B1864" s="327"/>
      <c r="C1864" s="327"/>
      <c r="D1864" s="327"/>
      <c r="E1864" s="327"/>
      <c r="F1864" s="327"/>
      <c r="G1864" s="320"/>
      <c r="H1864" s="320"/>
      <c r="I1864" s="327"/>
      <c r="J1864" s="327"/>
      <c r="K1864" s="328"/>
      <c r="L1864" s="327"/>
      <c r="M1864" s="327"/>
      <c r="N1864" s="327"/>
    </row>
    <row r="1865" spans="1:14" x14ac:dyDescent="0.15">
      <c r="A1865" s="327"/>
      <c r="B1865" s="327"/>
      <c r="C1865" s="327"/>
      <c r="D1865" s="327"/>
      <c r="E1865" s="327"/>
      <c r="F1865" s="327"/>
      <c r="G1865" s="320"/>
      <c r="H1865" s="320"/>
      <c r="I1865" s="327"/>
      <c r="J1865" s="327"/>
      <c r="K1865" s="328"/>
      <c r="L1865" s="327"/>
      <c r="M1865" s="327"/>
      <c r="N1865" s="327"/>
    </row>
    <row r="1866" spans="1:14" x14ac:dyDescent="0.15">
      <c r="A1866" s="327"/>
      <c r="B1866" s="327"/>
      <c r="C1866" s="327"/>
      <c r="D1866" s="327"/>
      <c r="E1866" s="327"/>
      <c r="F1866" s="327"/>
      <c r="G1866" s="320"/>
      <c r="H1866" s="320"/>
      <c r="I1866" s="327"/>
      <c r="J1866" s="327"/>
      <c r="K1866" s="328"/>
      <c r="L1866" s="327"/>
      <c r="M1866" s="327"/>
      <c r="N1866" s="327"/>
    </row>
    <row r="1867" spans="1:14" x14ac:dyDescent="0.15">
      <c r="A1867" s="327"/>
      <c r="B1867" s="327"/>
      <c r="C1867" s="327"/>
      <c r="D1867" s="327"/>
      <c r="E1867" s="327"/>
      <c r="F1867" s="327"/>
      <c r="G1867" s="320"/>
      <c r="H1867" s="320"/>
      <c r="I1867" s="327"/>
      <c r="J1867" s="327"/>
      <c r="K1867" s="328"/>
      <c r="L1867" s="327"/>
      <c r="M1867" s="327"/>
      <c r="N1867" s="327"/>
    </row>
    <row r="1868" spans="1:14" x14ac:dyDescent="0.15">
      <c r="A1868" s="327"/>
      <c r="B1868" s="327"/>
      <c r="C1868" s="327"/>
      <c r="D1868" s="327"/>
      <c r="E1868" s="327"/>
      <c r="F1868" s="327"/>
      <c r="G1868" s="320"/>
      <c r="H1868" s="320"/>
      <c r="I1868" s="327"/>
      <c r="J1868" s="327"/>
      <c r="K1868" s="328"/>
      <c r="L1868" s="327"/>
      <c r="M1868" s="327"/>
      <c r="N1868" s="327"/>
    </row>
    <row r="1869" spans="1:14" x14ac:dyDescent="0.15">
      <c r="A1869" s="327"/>
      <c r="B1869" s="327"/>
      <c r="C1869" s="327"/>
      <c r="D1869" s="327"/>
      <c r="E1869" s="327"/>
      <c r="F1869" s="327"/>
      <c r="G1869" s="320"/>
      <c r="H1869" s="320"/>
      <c r="I1869" s="327"/>
      <c r="J1869" s="327"/>
      <c r="K1869" s="328"/>
      <c r="L1869" s="327"/>
      <c r="M1869" s="327"/>
      <c r="N1869" s="327"/>
    </row>
    <row r="1870" spans="1:14" x14ac:dyDescent="0.15">
      <c r="A1870" s="327"/>
      <c r="B1870" s="327"/>
      <c r="C1870" s="327"/>
      <c r="D1870" s="327"/>
      <c r="E1870" s="327"/>
      <c r="F1870" s="327"/>
      <c r="G1870" s="320"/>
      <c r="H1870" s="320"/>
      <c r="I1870" s="327"/>
      <c r="J1870" s="327"/>
      <c r="K1870" s="328"/>
      <c r="L1870" s="327"/>
      <c r="M1870" s="327"/>
      <c r="N1870" s="327"/>
    </row>
    <row r="1871" spans="1:14" x14ac:dyDescent="0.15">
      <c r="A1871" s="327"/>
      <c r="B1871" s="327"/>
      <c r="C1871" s="327"/>
      <c r="D1871" s="327"/>
      <c r="E1871" s="327"/>
      <c r="F1871" s="327"/>
      <c r="G1871" s="320"/>
      <c r="H1871" s="320"/>
      <c r="I1871" s="327"/>
      <c r="J1871" s="327"/>
      <c r="K1871" s="328"/>
      <c r="L1871" s="327"/>
      <c r="M1871" s="327"/>
      <c r="N1871" s="327"/>
    </row>
    <row r="1872" spans="1:14" x14ac:dyDescent="0.15">
      <c r="A1872" s="327"/>
      <c r="B1872" s="327"/>
      <c r="C1872" s="327"/>
      <c r="D1872" s="327"/>
      <c r="E1872" s="327"/>
      <c r="F1872" s="327"/>
      <c r="G1872" s="320"/>
      <c r="H1872" s="320"/>
      <c r="I1872" s="327"/>
      <c r="J1872" s="327"/>
      <c r="K1872" s="328"/>
      <c r="L1872" s="327"/>
      <c r="M1872" s="327"/>
      <c r="N1872" s="327"/>
    </row>
    <row r="1873" spans="1:14" x14ac:dyDescent="0.15">
      <c r="A1873" s="327"/>
      <c r="B1873" s="327"/>
      <c r="C1873" s="327"/>
      <c r="D1873" s="327"/>
      <c r="E1873" s="327"/>
      <c r="F1873" s="327"/>
      <c r="G1873" s="320"/>
      <c r="H1873" s="320"/>
      <c r="I1873" s="327"/>
      <c r="J1873" s="327"/>
      <c r="K1873" s="328"/>
      <c r="L1873" s="327"/>
      <c r="M1873" s="327"/>
      <c r="N1873" s="327"/>
    </row>
    <row r="1874" spans="1:14" x14ac:dyDescent="0.15">
      <c r="A1874" s="327"/>
      <c r="B1874" s="327"/>
      <c r="C1874" s="327"/>
      <c r="D1874" s="327"/>
      <c r="E1874" s="327"/>
      <c r="F1874" s="327"/>
      <c r="G1874" s="320"/>
      <c r="H1874" s="320"/>
      <c r="I1874" s="327"/>
      <c r="J1874" s="327"/>
      <c r="K1874" s="328"/>
      <c r="L1874" s="327"/>
      <c r="M1874" s="327"/>
      <c r="N1874" s="327"/>
    </row>
    <row r="1875" spans="1:14" x14ac:dyDescent="0.15">
      <c r="A1875" s="327"/>
      <c r="B1875" s="327"/>
      <c r="C1875" s="327"/>
      <c r="D1875" s="327"/>
      <c r="E1875" s="327"/>
      <c r="F1875" s="327"/>
      <c r="G1875" s="320"/>
      <c r="H1875" s="320"/>
      <c r="I1875" s="327"/>
      <c r="J1875" s="327"/>
      <c r="K1875" s="328"/>
      <c r="L1875" s="327"/>
      <c r="M1875" s="327"/>
      <c r="N1875" s="327"/>
    </row>
    <row r="1876" spans="1:14" x14ac:dyDescent="0.15">
      <c r="A1876" s="327"/>
      <c r="B1876" s="327"/>
      <c r="C1876" s="327"/>
      <c r="D1876" s="327"/>
      <c r="E1876" s="327"/>
      <c r="F1876" s="327"/>
      <c r="G1876" s="320"/>
      <c r="H1876" s="320"/>
      <c r="I1876" s="327"/>
      <c r="J1876" s="327"/>
      <c r="K1876" s="328"/>
      <c r="L1876" s="327"/>
      <c r="M1876" s="327"/>
      <c r="N1876" s="327"/>
    </row>
    <row r="1877" spans="1:14" x14ac:dyDescent="0.15">
      <c r="A1877" s="327"/>
      <c r="B1877" s="327"/>
      <c r="C1877" s="327"/>
      <c r="D1877" s="327"/>
      <c r="E1877" s="327"/>
      <c r="F1877" s="327"/>
      <c r="G1877" s="320"/>
      <c r="H1877" s="320"/>
      <c r="I1877" s="327"/>
      <c r="J1877" s="327"/>
      <c r="K1877" s="328"/>
      <c r="L1877" s="327"/>
      <c r="M1877" s="327"/>
      <c r="N1877" s="327"/>
    </row>
    <row r="1878" spans="1:14" x14ac:dyDescent="0.15">
      <c r="A1878" s="327"/>
      <c r="B1878" s="327"/>
      <c r="C1878" s="327"/>
      <c r="D1878" s="327"/>
      <c r="E1878" s="327"/>
      <c r="F1878" s="327"/>
      <c r="G1878" s="320"/>
      <c r="H1878" s="320"/>
      <c r="I1878" s="327"/>
      <c r="J1878" s="327"/>
      <c r="K1878" s="328"/>
      <c r="L1878" s="327"/>
      <c r="M1878" s="327"/>
      <c r="N1878" s="327"/>
    </row>
    <row r="1879" spans="1:14" x14ac:dyDescent="0.15">
      <c r="A1879" s="327"/>
      <c r="B1879" s="327"/>
      <c r="C1879" s="327"/>
      <c r="D1879" s="327"/>
      <c r="E1879" s="327"/>
      <c r="F1879" s="327"/>
      <c r="G1879" s="320"/>
      <c r="H1879" s="320"/>
      <c r="I1879" s="327"/>
      <c r="J1879" s="327"/>
      <c r="K1879" s="328"/>
      <c r="L1879" s="327"/>
      <c r="M1879" s="327"/>
      <c r="N1879" s="327"/>
    </row>
    <row r="1880" spans="1:14" x14ac:dyDescent="0.15">
      <c r="A1880" s="327"/>
      <c r="B1880" s="327"/>
      <c r="C1880" s="327"/>
      <c r="D1880" s="327"/>
      <c r="E1880" s="327"/>
      <c r="F1880" s="327"/>
      <c r="G1880" s="320"/>
      <c r="H1880" s="320"/>
      <c r="I1880" s="327"/>
      <c r="J1880" s="327"/>
      <c r="K1880" s="328"/>
      <c r="L1880" s="327"/>
      <c r="M1880" s="327"/>
      <c r="N1880" s="327"/>
    </row>
    <row r="1881" spans="1:14" x14ac:dyDescent="0.15">
      <c r="A1881" s="327"/>
      <c r="B1881" s="327"/>
      <c r="C1881" s="327"/>
      <c r="D1881" s="327"/>
      <c r="E1881" s="327"/>
      <c r="F1881" s="327"/>
      <c r="G1881" s="320"/>
      <c r="H1881" s="320"/>
      <c r="I1881" s="327"/>
      <c r="J1881" s="327"/>
      <c r="K1881" s="328"/>
      <c r="L1881" s="327"/>
      <c r="M1881" s="327"/>
      <c r="N1881" s="327"/>
    </row>
    <row r="1882" spans="1:14" x14ac:dyDescent="0.15">
      <c r="A1882" s="327"/>
      <c r="B1882" s="327"/>
      <c r="C1882" s="327"/>
      <c r="D1882" s="327"/>
      <c r="E1882" s="327"/>
      <c r="F1882" s="327"/>
      <c r="G1882" s="320"/>
      <c r="H1882" s="320"/>
      <c r="I1882" s="327"/>
      <c r="J1882" s="327"/>
      <c r="K1882" s="328"/>
      <c r="L1882" s="327"/>
      <c r="M1882" s="327"/>
      <c r="N1882" s="327"/>
    </row>
    <row r="1883" spans="1:14" x14ac:dyDescent="0.15">
      <c r="A1883" s="327"/>
      <c r="B1883" s="327"/>
      <c r="C1883" s="327"/>
      <c r="D1883" s="327"/>
      <c r="E1883" s="327"/>
      <c r="F1883" s="327"/>
      <c r="G1883" s="320"/>
      <c r="H1883" s="320"/>
      <c r="I1883" s="327"/>
      <c r="J1883" s="327"/>
      <c r="K1883" s="328"/>
      <c r="L1883" s="327"/>
      <c r="M1883" s="327"/>
      <c r="N1883" s="327"/>
    </row>
    <row r="1884" spans="1:14" x14ac:dyDescent="0.15">
      <c r="A1884" s="327"/>
      <c r="B1884" s="327"/>
      <c r="C1884" s="327"/>
      <c r="D1884" s="327"/>
      <c r="E1884" s="327"/>
      <c r="F1884" s="327"/>
      <c r="G1884" s="320"/>
      <c r="H1884" s="320"/>
      <c r="I1884" s="327"/>
      <c r="J1884" s="327"/>
      <c r="K1884" s="328"/>
      <c r="L1884" s="327"/>
      <c r="M1884" s="327"/>
      <c r="N1884" s="327"/>
    </row>
    <row r="1885" spans="1:14" x14ac:dyDescent="0.15">
      <c r="A1885" s="327"/>
      <c r="B1885" s="327"/>
      <c r="C1885" s="327"/>
      <c r="D1885" s="327"/>
      <c r="E1885" s="327"/>
      <c r="F1885" s="327"/>
      <c r="G1885" s="320"/>
      <c r="H1885" s="320"/>
      <c r="I1885" s="327"/>
      <c r="J1885" s="327"/>
      <c r="K1885" s="328"/>
      <c r="L1885" s="327"/>
      <c r="M1885" s="327"/>
      <c r="N1885" s="327"/>
    </row>
    <row r="1886" spans="1:14" x14ac:dyDescent="0.15">
      <c r="A1886" s="327"/>
      <c r="B1886" s="327"/>
      <c r="C1886" s="327"/>
      <c r="D1886" s="327"/>
      <c r="E1886" s="327"/>
      <c r="F1886" s="327"/>
      <c r="G1886" s="320"/>
      <c r="H1886" s="320"/>
      <c r="I1886" s="327"/>
      <c r="J1886" s="327"/>
      <c r="K1886" s="328"/>
      <c r="L1886" s="327"/>
      <c r="M1886" s="327"/>
      <c r="N1886" s="327"/>
    </row>
    <row r="1887" spans="1:14" x14ac:dyDescent="0.15">
      <c r="A1887" s="327"/>
      <c r="B1887" s="327"/>
      <c r="C1887" s="327"/>
      <c r="D1887" s="327"/>
      <c r="E1887" s="327"/>
      <c r="F1887" s="327"/>
      <c r="G1887" s="320"/>
      <c r="H1887" s="320"/>
      <c r="I1887" s="327"/>
      <c r="J1887" s="327"/>
      <c r="K1887" s="328"/>
      <c r="L1887" s="327"/>
      <c r="M1887" s="327"/>
      <c r="N1887" s="327"/>
    </row>
    <row r="1888" spans="1:14" x14ac:dyDescent="0.15">
      <c r="A1888" s="327"/>
      <c r="B1888" s="327"/>
      <c r="C1888" s="327"/>
      <c r="D1888" s="327"/>
      <c r="E1888" s="327"/>
      <c r="F1888" s="327"/>
      <c r="G1888" s="320"/>
      <c r="H1888" s="320"/>
      <c r="I1888" s="327"/>
      <c r="J1888" s="327"/>
      <c r="K1888" s="328"/>
      <c r="L1888" s="327"/>
      <c r="M1888" s="327"/>
      <c r="N1888" s="327"/>
    </row>
    <row r="1889" spans="1:14" x14ac:dyDescent="0.15">
      <c r="A1889" s="327"/>
      <c r="B1889" s="327"/>
      <c r="C1889" s="327"/>
      <c r="D1889" s="327"/>
      <c r="E1889" s="327"/>
      <c r="F1889" s="327"/>
      <c r="G1889" s="320"/>
      <c r="H1889" s="320"/>
      <c r="I1889" s="327"/>
      <c r="J1889" s="327"/>
      <c r="K1889" s="328"/>
      <c r="L1889" s="327"/>
      <c r="M1889" s="327"/>
      <c r="N1889" s="327"/>
    </row>
    <row r="1890" spans="1:14" x14ac:dyDescent="0.15">
      <c r="A1890" s="327"/>
      <c r="B1890" s="327"/>
      <c r="C1890" s="327"/>
      <c r="D1890" s="327"/>
      <c r="E1890" s="327"/>
      <c r="F1890" s="327"/>
      <c r="G1890" s="320"/>
      <c r="H1890" s="320"/>
      <c r="I1890" s="327"/>
      <c r="J1890" s="327"/>
      <c r="K1890" s="328"/>
      <c r="L1890" s="327"/>
      <c r="M1890" s="327"/>
      <c r="N1890" s="327"/>
    </row>
    <row r="1891" spans="1:14" x14ac:dyDescent="0.15">
      <c r="A1891" s="327"/>
      <c r="B1891" s="327"/>
      <c r="C1891" s="327"/>
      <c r="D1891" s="327"/>
      <c r="E1891" s="327"/>
      <c r="F1891" s="327"/>
      <c r="G1891" s="320"/>
      <c r="H1891" s="320"/>
      <c r="I1891" s="327"/>
      <c r="J1891" s="327"/>
      <c r="K1891" s="328"/>
      <c r="L1891" s="327"/>
      <c r="M1891" s="327"/>
      <c r="N1891" s="327"/>
    </row>
    <row r="1892" spans="1:14" x14ac:dyDescent="0.15">
      <c r="A1892" s="327"/>
      <c r="B1892" s="327"/>
      <c r="C1892" s="327"/>
      <c r="D1892" s="327"/>
      <c r="E1892" s="327"/>
      <c r="F1892" s="327"/>
      <c r="G1892" s="320"/>
      <c r="H1892" s="320"/>
      <c r="I1892" s="327"/>
      <c r="J1892" s="327"/>
      <c r="K1892" s="328"/>
      <c r="L1892" s="327"/>
      <c r="M1892" s="327"/>
      <c r="N1892" s="327"/>
    </row>
    <row r="1893" spans="1:14" x14ac:dyDescent="0.15">
      <c r="A1893" s="327"/>
      <c r="B1893" s="327"/>
      <c r="C1893" s="327"/>
      <c r="D1893" s="327"/>
      <c r="E1893" s="327"/>
      <c r="F1893" s="327"/>
      <c r="G1893" s="320"/>
      <c r="H1893" s="320"/>
      <c r="I1893" s="327"/>
      <c r="J1893" s="327"/>
      <c r="K1893" s="328"/>
      <c r="L1893" s="327"/>
      <c r="M1893" s="327"/>
      <c r="N1893" s="327"/>
    </row>
    <row r="1894" spans="1:14" x14ac:dyDescent="0.15">
      <c r="A1894" s="327"/>
      <c r="B1894" s="327"/>
      <c r="C1894" s="327"/>
      <c r="D1894" s="327"/>
      <c r="E1894" s="327"/>
      <c r="F1894" s="327"/>
      <c r="G1894" s="320"/>
      <c r="H1894" s="320"/>
      <c r="I1894" s="327"/>
      <c r="J1894" s="327"/>
      <c r="K1894" s="328"/>
      <c r="L1894" s="327"/>
      <c r="M1894" s="327"/>
      <c r="N1894" s="327"/>
    </row>
    <row r="1895" spans="1:14" x14ac:dyDescent="0.15">
      <c r="A1895" s="327"/>
      <c r="B1895" s="327"/>
      <c r="C1895" s="327"/>
      <c r="D1895" s="327"/>
      <c r="E1895" s="327"/>
      <c r="F1895" s="327"/>
      <c r="G1895" s="320"/>
      <c r="H1895" s="320"/>
      <c r="I1895" s="327"/>
      <c r="J1895" s="327"/>
      <c r="K1895" s="328"/>
      <c r="L1895" s="327"/>
      <c r="M1895" s="327"/>
      <c r="N1895" s="327"/>
    </row>
    <row r="1896" spans="1:14" x14ac:dyDescent="0.15">
      <c r="A1896" s="327"/>
      <c r="B1896" s="327"/>
      <c r="C1896" s="327"/>
      <c r="D1896" s="327"/>
      <c r="E1896" s="327"/>
      <c r="F1896" s="327"/>
      <c r="G1896" s="320"/>
      <c r="H1896" s="320"/>
      <c r="I1896" s="327"/>
      <c r="J1896" s="327"/>
      <c r="K1896" s="328"/>
      <c r="L1896" s="327"/>
      <c r="M1896" s="327"/>
      <c r="N1896" s="327"/>
    </row>
    <row r="1897" spans="1:14" x14ac:dyDescent="0.15">
      <c r="A1897" s="327"/>
      <c r="B1897" s="327"/>
      <c r="C1897" s="327"/>
      <c r="D1897" s="327"/>
      <c r="E1897" s="327"/>
      <c r="F1897" s="327"/>
      <c r="G1897" s="320"/>
      <c r="H1897" s="320"/>
      <c r="I1897" s="327"/>
      <c r="J1897" s="327"/>
      <c r="K1897" s="328"/>
      <c r="L1897" s="327"/>
      <c r="M1897" s="327"/>
      <c r="N1897" s="327"/>
    </row>
    <row r="1898" spans="1:14" x14ac:dyDescent="0.15">
      <c r="A1898" s="327"/>
      <c r="B1898" s="327"/>
      <c r="C1898" s="327"/>
      <c r="D1898" s="327"/>
      <c r="E1898" s="327"/>
      <c r="F1898" s="327"/>
      <c r="G1898" s="320"/>
      <c r="H1898" s="320"/>
      <c r="I1898" s="327"/>
      <c r="J1898" s="327"/>
      <c r="K1898" s="328"/>
      <c r="L1898" s="327"/>
      <c r="M1898" s="327"/>
      <c r="N1898" s="327"/>
    </row>
    <row r="1899" spans="1:14" x14ac:dyDescent="0.15">
      <c r="A1899" s="327"/>
      <c r="B1899" s="327"/>
      <c r="C1899" s="327"/>
      <c r="D1899" s="327"/>
      <c r="E1899" s="327"/>
      <c r="F1899" s="327"/>
      <c r="G1899" s="320"/>
      <c r="H1899" s="320"/>
      <c r="I1899" s="327"/>
      <c r="J1899" s="327"/>
      <c r="K1899" s="328"/>
      <c r="L1899" s="327"/>
      <c r="M1899" s="327"/>
      <c r="N1899" s="327"/>
    </row>
    <row r="1900" spans="1:14" x14ac:dyDescent="0.15">
      <c r="A1900" s="327"/>
      <c r="B1900" s="327"/>
      <c r="C1900" s="327"/>
      <c r="D1900" s="327"/>
      <c r="E1900" s="327"/>
      <c r="F1900" s="327"/>
      <c r="G1900" s="320"/>
      <c r="H1900" s="320"/>
      <c r="I1900" s="327"/>
      <c r="J1900" s="327"/>
      <c r="K1900" s="328"/>
      <c r="L1900" s="327"/>
      <c r="M1900" s="327"/>
      <c r="N1900" s="327"/>
    </row>
    <row r="1901" spans="1:14" x14ac:dyDescent="0.15">
      <c r="A1901" s="327"/>
      <c r="B1901" s="327"/>
      <c r="C1901" s="327"/>
      <c r="D1901" s="327"/>
      <c r="E1901" s="327"/>
      <c r="F1901" s="327"/>
      <c r="G1901" s="320"/>
      <c r="H1901" s="320"/>
      <c r="I1901" s="327"/>
      <c r="J1901" s="327"/>
      <c r="K1901" s="328"/>
      <c r="L1901" s="327"/>
      <c r="M1901" s="327"/>
      <c r="N1901" s="327"/>
    </row>
    <row r="1902" spans="1:14" x14ac:dyDescent="0.15">
      <c r="A1902" s="327"/>
      <c r="B1902" s="327"/>
      <c r="C1902" s="327"/>
      <c r="D1902" s="327"/>
      <c r="E1902" s="327"/>
      <c r="F1902" s="327"/>
      <c r="G1902" s="320"/>
      <c r="H1902" s="320"/>
      <c r="I1902" s="327"/>
      <c r="J1902" s="327"/>
      <c r="K1902" s="328"/>
      <c r="L1902" s="327"/>
      <c r="M1902" s="327"/>
      <c r="N1902" s="327"/>
    </row>
    <row r="1903" spans="1:14" x14ac:dyDescent="0.15">
      <c r="A1903" s="327"/>
      <c r="B1903" s="327"/>
      <c r="C1903" s="327"/>
      <c r="D1903" s="327"/>
      <c r="E1903" s="327"/>
      <c r="F1903" s="327"/>
      <c r="G1903" s="320"/>
      <c r="H1903" s="320"/>
      <c r="I1903" s="327"/>
      <c r="J1903" s="327"/>
      <c r="K1903" s="328"/>
      <c r="L1903" s="327"/>
      <c r="M1903" s="327"/>
      <c r="N1903" s="327"/>
    </row>
    <row r="1904" spans="1:14" x14ac:dyDescent="0.15">
      <c r="A1904" s="327"/>
      <c r="B1904" s="327"/>
      <c r="C1904" s="327"/>
      <c r="D1904" s="327"/>
      <c r="E1904" s="327"/>
      <c r="F1904" s="327"/>
      <c r="G1904" s="320"/>
      <c r="H1904" s="320"/>
      <c r="I1904" s="327"/>
      <c r="J1904" s="327"/>
      <c r="K1904" s="328"/>
      <c r="L1904" s="327"/>
      <c r="M1904" s="327"/>
      <c r="N1904" s="327"/>
    </row>
    <row r="1905" spans="1:14" x14ac:dyDescent="0.15">
      <c r="A1905" s="327"/>
      <c r="B1905" s="327"/>
      <c r="C1905" s="327"/>
      <c r="D1905" s="327"/>
      <c r="E1905" s="327"/>
      <c r="F1905" s="327"/>
      <c r="G1905" s="320"/>
      <c r="H1905" s="320"/>
      <c r="I1905" s="327"/>
      <c r="J1905" s="327"/>
      <c r="K1905" s="328"/>
      <c r="L1905" s="327"/>
      <c r="M1905" s="327"/>
      <c r="N1905" s="327"/>
    </row>
    <row r="1906" spans="1:14" x14ac:dyDescent="0.15">
      <c r="A1906" s="327"/>
      <c r="B1906" s="327"/>
      <c r="C1906" s="327"/>
      <c r="D1906" s="327"/>
      <c r="E1906" s="327"/>
      <c r="F1906" s="327"/>
      <c r="G1906" s="320"/>
      <c r="H1906" s="320"/>
      <c r="I1906" s="327"/>
      <c r="J1906" s="327"/>
      <c r="K1906" s="328"/>
      <c r="L1906" s="327"/>
      <c r="M1906" s="327"/>
      <c r="N1906" s="327"/>
    </row>
    <row r="1907" spans="1:14" x14ac:dyDescent="0.15">
      <c r="A1907" s="327"/>
      <c r="B1907" s="327"/>
      <c r="C1907" s="327"/>
      <c r="D1907" s="327"/>
      <c r="E1907" s="327"/>
      <c r="F1907" s="327"/>
      <c r="G1907" s="320"/>
      <c r="H1907" s="320"/>
      <c r="I1907" s="327"/>
      <c r="J1907" s="327"/>
      <c r="K1907" s="328"/>
      <c r="L1907" s="327"/>
      <c r="M1907" s="327"/>
      <c r="N1907" s="327"/>
    </row>
    <row r="1908" spans="1:14" x14ac:dyDescent="0.15">
      <c r="A1908" s="327"/>
      <c r="B1908" s="327"/>
      <c r="C1908" s="327"/>
      <c r="D1908" s="327"/>
      <c r="E1908" s="327"/>
      <c r="F1908" s="327"/>
      <c r="G1908" s="320"/>
      <c r="H1908" s="320"/>
      <c r="I1908" s="327"/>
      <c r="J1908" s="327"/>
      <c r="K1908" s="328"/>
      <c r="L1908" s="327"/>
      <c r="M1908" s="327"/>
      <c r="N1908" s="327"/>
    </row>
    <row r="1909" spans="1:14" x14ac:dyDescent="0.15">
      <c r="A1909" s="327"/>
      <c r="B1909" s="327"/>
      <c r="C1909" s="327"/>
      <c r="D1909" s="327"/>
      <c r="E1909" s="327"/>
      <c r="F1909" s="327"/>
      <c r="G1909" s="320"/>
      <c r="H1909" s="320"/>
      <c r="I1909" s="327"/>
      <c r="J1909" s="327"/>
      <c r="K1909" s="328"/>
      <c r="L1909" s="327"/>
      <c r="M1909" s="327"/>
      <c r="N1909" s="327"/>
    </row>
    <row r="1910" spans="1:14" x14ac:dyDescent="0.15">
      <c r="A1910" s="327"/>
      <c r="B1910" s="327"/>
      <c r="C1910" s="327"/>
      <c r="D1910" s="327"/>
      <c r="E1910" s="327"/>
      <c r="F1910" s="327"/>
      <c r="G1910" s="320"/>
      <c r="H1910" s="320"/>
      <c r="I1910" s="327"/>
      <c r="J1910" s="327"/>
      <c r="K1910" s="328"/>
      <c r="L1910" s="327"/>
      <c r="M1910" s="327"/>
      <c r="N1910" s="327"/>
    </row>
    <row r="1911" spans="1:14" x14ac:dyDescent="0.15">
      <c r="A1911" s="327"/>
      <c r="B1911" s="327"/>
      <c r="C1911" s="327"/>
      <c r="D1911" s="327"/>
      <c r="E1911" s="327"/>
      <c r="F1911" s="327"/>
      <c r="G1911" s="320"/>
      <c r="H1911" s="320"/>
      <c r="I1911" s="327"/>
      <c r="J1911" s="327"/>
      <c r="K1911" s="328"/>
      <c r="L1911" s="327"/>
      <c r="M1911" s="327"/>
      <c r="N1911" s="327"/>
    </row>
    <row r="1912" spans="1:14" x14ac:dyDescent="0.15">
      <c r="A1912" s="327"/>
      <c r="B1912" s="327"/>
      <c r="C1912" s="327"/>
      <c r="D1912" s="327"/>
      <c r="E1912" s="327"/>
      <c r="F1912" s="327"/>
      <c r="G1912" s="320"/>
      <c r="H1912" s="320"/>
      <c r="I1912" s="327"/>
      <c r="J1912" s="327"/>
      <c r="K1912" s="328"/>
      <c r="L1912" s="327"/>
      <c r="M1912" s="327"/>
      <c r="N1912" s="327"/>
    </row>
    <row r="1913" spans="1:14" x14ac:dyDescent="0.15">
      <c r="A1913" s="327"/>
      <c r="B1913" s="327"/>
      <c r="C1913" s="327"/>
      <c r="D1913" s="327"/>
      <c r="E1913" s="327"/>
      <c r="F1913" s="327"/>
      <c r="G1913" s="320"/>
      <c r="H1913" s="320"/>
      <c r="I1913" s="327"/>
      <c r="J1913" s="327"/>
      <c r="K1913" s="328"/>
      <c r="L1913" s="327"/>
      <c r="M1913" s="327"/>
      <c r="N1913" s="327"/>
    </row>
    <row r="1914" spans="1:14" x14ac:dyDescent="0.15">
      <c r="A1914" s="327"/>
      <c r="B1914" s="327"/>
      <c r="C1914" s="327"/>
      <c r="D1914" s="327"/>
      <c r="E1914" s="327"/>
      <c r="F1914" s="327"/>
      <c r="G1914" s="320"/>
      <c r="H1914" s="320"/>
      <c r="I1914" s="327"/>
      <c r="J1914" s="327"/>
      <c r="K1914" s="328"/>
      <c r="L1914" s="327"/>
      <c r="M1914" s="327"/>
      <c r="N1914" s="327"/>
    </row>
    <row r="1915" spans="1:14" x14ac:dyDescent="0.15">
      <c r="A1915" s="327"/>
      <c r="B1915" s="327"/>
      <c r="C1915" s="327"/>
      <c r="D1915" s="327"/>
      <c r="E1915" s="327"/>
      <c r="F1915" s="327"/>
      <c r="G1915" s="320"/>
      <c r="H1915" s="320"/>
      <c r="I1915" s="327"/>
      <c r="J1915" s="327"/>
      <c r="K1915" s="328"/>
      <c r="L1915" s="327"/>
      <c r="M1915" s="327"/>
      <c r="N1915" s="327"/>
    </row>
    <row r="1916" spans="1:14" x14ac:dyDescent="0.15">
      <c r="A1916" s="327"/>
      <c r="B1916" s="327"/>
      <c r="C1916" s="327"/>
      <c r="D1916" s="327"/>
      <c r="E1916" s="327"/>
      <c r="F1916" s="327"/>
      <c r="G1916" s="320"/>
      <c r="H1916" s="320"/>
      <c r="I1916" s="327"/>
      <c r="J1916" s="327"/>
      <c r="K1916" s="328"/>
      <c r="L1916" s="327"/>
      <c r="M1916" s="327"/>
      <c r="N1916" s="327"/>
    </row>
    <row r="1917" spans="1:14" x14ac:dyDescent="0.15">
      <c r="A1917" s="327"/>
      <c r="B1917" s="327"/>
      <c r="C1917" s="327"/>
      <c r="D1917" s="327"/>
      <c r="E1917" s="327"/>
      <c r="F1917" s="327"/>
      <c r="G1917" s="320"/>
      <c r="H1917" s="320"/>
      <c r="I1917" s="327"/>
      <c r="J1917" s="327"/>
      <c r="K1917" s="328"/>
      <c r="L1917" s="327"/>
      <c r="M1917" s="327"/>
      <c r="N1917" s="327"/>
    </row>
    <row r="1918" spans="1:14" x14ac:dyDescent="0.15">
      <c r="A1918" s="327"/>
      <c r="B1918" s="327"/>
      <c r="C1918" s="327"/>
      <c r="D1918" s="327"/>
      <c r="E1918" s="327"/>
      <c r="F1918" s="327"/>
      <c r="G1918" s="320"/>
      <c r="H1918" s="320"/>
      <c r="I1918" s="327"/>
      <c r="J1918" s="327"/>
      <c r="K1918" s="328"/>
      <c r="L1918" s="327"/>
      <c r="M1918" s="327"/>
      <c r="N1918" s="327"/>
    </row>
    <row r="1919" spans="1:14" x14ac:dyDescent="0.15">
      <c r="A1919" s="327"/>
      <c r="B1919" s="327"/>
      <c r="C1919" s="327"/>
      <c r="D1919" s="327"/>
      <c r="E1919" s="327"/>
      <c r="F1919" s="327"/>
      <c r="G1919" s="320"/>
      <c r="H1919" s="320"/>
      <c r="I1919" s="327"/>
      <c r="J1919" s="327"/>
      <c r="K1919" s="328"/>
      <c r="L1919" s="327"/>
      <c r="M1919" s="327"/>
      <c r="N1919" s="327"/>
    </row>
    <row r="1920" spans="1:14" x14ac:dyDescent="0.15">
      <c r="A1920" s="327"/>
      <c r="B1920" s="327"/>
      <c r="C1920" s="327"/>
      <c r="D1920" s="327"/>
      <c r="E1920" s="327"/>
      <c r="F1920" s="327"/>
      <c r="G1920" s="320"/>
      <c r="H1920" s="320"/>
      <c r="I1920" s="327"/>
      <c r="J1920" s="327"/>
      <c r="K1920" s="328"/>
      <c r="L1920" s="327"/>
      <c r="M1920" s="327"/>
      <c r="N1920" s="327"/>
    </row>
    <row r="1921" spans="1:14" x14ac:dyDescent="0.15">
      <c r="A1921" s="327"/>
      <c r="B1921" s="327"/>
      <c r="C1921" s="327"/>
      <c r="D1921" s="327"/>
      <c r="E1921" s="327"/>
      <c r="F1921" s="327"/>
      <c r="G1921" s="320"/>
      <c r="H1921" s="320"/>
      <c r="I1921" s="327"/>
      <c r="J1921" s="327"/>
      <c r="K1921" s="328"/>
      <c r="L1921" s="327"/>
      <c r="M1921" s="327"/>
      <c r="N1921" s="327"/>
    </row>
    <row r="1922" spans="1:14" x14ac:dyDescent="0.15">
      <c r="A1922" s="327"/>
      <c r="B1922" s="327"/>
      <c r="C1922" s="327"/>
      <c r="D1922" s="327"/>
      <c r="E1922" s="327"/>
      <c r="F1922" s="327"/>
      <c r="G1922" s="320"/>
      <c r="H1922" s="320"/>
      <c r="I1922" s="327"/>
      <c r="J1922" s="327"/>
      <c r="K1922" s="328"/>
      <c r="L1922" s="327"/>
      <c r="M1922" s="327"/>
      <c r="N1922" s="327"/>
    </row>
    <row r="1923" spans="1:14" x14ac:dyDescent="0.15">
      <c r="A1923" s="327"/>
      <c r="B1923" s="327"/>
      <c r="C1923" s="327"/>
      <c r="D1923" s="327"/>
      <c r="E1923" s="327"/>
      <c r="F1923" s="327"/>
      <c r="G1923" s="320"/>
      <c r="H1923" s="320"/>
      <c r="I1923" s="327"/>
      <c r="J1923" s="327"/>
      <c r="K1923" s="328"/>
      <c r="L1923" s="327"/>
      <c r="M1923" s="327"/>
      <c r="N1923" s="327"/>
    </row>
    <row r="1924" spans="1:14" x14ac:dyDescent="0.15">
      <c r="A1924" s="327"/>
      <c r="B1924" s="327"/>
      <c r="C1924" s="327"/>
      <c r="D1924" s="327"/>
      <c r="E1924" s="327"/>
      <c r="F1924" s="327"/>
      <c r="G1924" s="320"/>
      <c r="H1924" s="320"/>
      <c r="I1924" s="327"/>
      <c r="J1924" s="327"/>
      <c r="K1924" s="328"/>
      <c r="L1924" s="327"/>
      <c r="M1924" s="327"/>
      <c r="N1924" s="327"/>
    </row>
    <row r="1925" spans="1:14" x14ac:dyDescent="0.15">
      <c r="A1925" s="327"/>
      <c r="B1925" s="327"/>
      <c r="C1925" s="327"/>
      <c r="D1925" s="327"/>
      <c r="E1925" s="327"/>
      <c r="F1925" s="327"/>
      <c r="G1925" s="320"/>
      <c r="H1925" s="320"/>
      <c r="I1925" s="327"/>
      <c r="J1925" s="327"/>
      <c r="K1925" s="328"/>
      <c r="L1925" s="327"/>
      <c r="M1925" s="327"/>
      <c r="N1925" s="327"/>
    </row>
    <row r="1926" spans="1:14" x14ac:dyDescent="0.15">
      <c r="A1926" s="327"/>
      <c r="B1926" s="327"/>
      <c r="C1926" s="327"/>
      <c r="D1926" s="327"/>
      <c r="E1926" s="327"/>
      <c r="F1926" s="327"/>
      <c r="G1926" s="320"/>
      <c r="H1926" s="320"/>
      <c r="I1926" s="327"/>
      <c r="J1926" s="327"/>
      <c r="K1926" s="328"/>
      <c r="L1926" s="327"/>
      <c r="M1926" s="327"/>
      <c r="N1926" s="327"/>
    </row>
    <row r="1927" spans="1:14" x14ac:dyDescent="0.15">
      <c r="A1927" s="327"/>
      <c r="B1927" s="327"/>
      <c r="C1927" s="327"/>
      <c r="D1927" s="327"/>
      <c r="E1927" s="327"/>
      <c r="F1927" s="327"/>
      <c r="G1927" s="320"/>
      <c r="H1927" s="320"/>
      <c r="I1927" s="327"/>
      <c r="J1927" s="327"/>
      <c r="K1927" s="328"/>
      <c r="L1927" s="327"/>
      <c r="M1927" s="327"/>
      <c r="N1927" s="327"/>
    </row>
    <row r="1928" spans="1:14" x14ac:dyDescent="0.15">
      <c r="A1928" s="327"/>
      <c r="B1928" s="327"/>
      <c r="C1928" s="327"/>
      <c r="D1928" s="327"/>
      <c r="E1928" s="327"/>
      <c r="F1928" s="327"/>
      <c r="G1928" s="320"/>
      <c r="H1928" s="320"/>
      <c r="I1928" s="327"/>
      <c r="J1928" s="327"/>
      <c r="K1928" s="328"/>
      <c r="L1928" s="327"/>
      <c r="M1928" s="327"/>
      <c r="N1928" s="327"/>
    </row>
    <row r="1929" spans="1:14" x14ac:dyDescent="0.15">
      <c r="A1929" s="327"/>
      <c r="B1929" s="327"/>
      <c r="C1929" s="327"/>
      <c r="D1929" s="327"/>
      <c r="E1929" s="327"/>
      <c r="F1929" s="327"/>
      <c r="G1929" s="320"/>
      <c r="H1929" s="320"/>
      <c r="I1929" s="327"/>
      <c r="J1929" s="327"/>
      <c r="K1929" s="328"/>
      <c r="L1929" s="327"/>
      <c r="M1929" s="327"/>
      <c r="N1929" s="327"/>
    </row>
    <row r="1930" spans="1:14" x14ac:dyDescent="0.15">
      <c r="A1930" s="327"/>
      <c r="B1930" s="327"/>
      <c r="C1930" s="327"/>
      <c r="D1930" s="327"/>
      <c r="E1930" s="327"/>
      <c r="F1930" s="327"/>
      <c r="G1930" s="320"/>
      <c r="H1930" s="320"/>
      <c r="I1930" s="327"/>
      <c r="J1930" s="327"/>
      <c r="K1930" s="328"/>
      <c r="L1930" s="327"/>
      <c r="M1930" s="327"/>
      <c r="N1930" s="327"/>
    </row>
    <row r="1931" spans="1:14" x14ac:dyDescent="0.15">
      <c r="A1931" s="327"/>
      <c r="B1931" s="327"/>
      <c r="C1931" s="327"/>
      <c r="D1931" s="327"/>
      <c r="E1931" s="327"/>
      <c r="F1931" s="327"/>
      <c r="G1931" s="320"/>
      <c r="H1931" s="320"/>
      <c r="I1931" s="327"/>
      <c r="J1931" s="327"/>
      <c r="K1931" s="328"/>
      <c r="L1931" s="327"/>
      <c r="M1931" s="327"/>
      <c r="N1931" s="327"/>
    </row>
    <row r="1932" spans="1:14" x14ac:dyDescent="0.15">
      <c r="A1932" s="327"/>
      <c r="B1932" s="327"/>
      <c r="C1932" s="327"/>
      <c r="D1932" s="327"/>
      <c r="E1932" s="327"/>
      <c r="F1932" s="327"/>
      <c r="G1932" s="320"/>
      <c r="H1932" s="320"/>
      <c r="I1932" s="327"/>
      <c r="J1932" s="327"/>
      <c r="K1932" s="328"/>
      <c r="L1932" s="327"/>
      <c r="M1932" s="327"/>
      <c r="N1932" s="327"/>
    </row>
    <row r="1933" spans="1:14" x14ac:dyDescent="0.15">
      <c r="A1933" s="327"/>
      <c r="B1933" s="327"/>
      <c r="C1933" s="327"/>
      <c r="D1933" s="327"/>
      <c r="E1933" s="327"/>
      <c r="F1933" s="327"/>
      <c r="G1933" s="320"/>
      <c r="H1933" s="320"/>
      <c r="I1933" s="327"/>
      <c r="J1933" s="327"/>
      <c r="K1933" s="328"/>
      <c r="L1933" s="327"/>
      <c r="M1933" s="327"/>
      <c r="N1933" s="327"/>
    </row>
    <row r="1934" spans="1:14" x14ac:dyDescent="0.15">
      <c r="A1934" s="327"/>
      <c r="B1934" s="327"/>
      <c r="C1934" s="327"/>
      <c r="D1934" s="327"/>
      <c r="E1934" s="327"/>
      <c r="F1934" s="327"/>
      <c r="G1934" s="320"/>
      <c r="H1934" s="320"/>
      <c r="I1934" s="327"/>
      <c r="J1934" s="327"/>
      <c r="K1934" s="328"/>
      <c r="L1934" s="327"/>
      <c r="M1934" s="327"/>
      <c r="N1934" s="327"/>
    </row>
    <row r="1935" spans="1:14" x14ac:dyDescent="0.15">
      <c r="A1935" s="327"/>
      <c r="B1935" s="327"/>
      <c r="C1935" s="327"/>
      <c r="D1935" s="327"/>
      <c r="E1935" s="327"/>
      <c r="F1935" s="327"/>
      <c r="G1935" s="320"/>
      <c r="H1935" s="320"/>
      <c r="I1935" s="327"/>
      <c r="J1935" s="327"/>
      <c r="K1935" s="328"/>
      <c r="L1935" s="327"/>
      <c r="M1935" s="327"/>
      <c r="N1935" s="327"/>
    </row>
    <row r="1936" spans="1:14" x14ac:dyDescent="0.15">
      <c r="A1936" s="327"/>
      <c r="B1936" s="327"/>
      <c r="C1936" s="327"/>
      <c r="D1936" s="327"/>
      <c r="E1936" s="327"/>
      <c r="F1936" s="327"/>
      <c r="G1936" s="320"/>
      <c r="H1936" s="320"/>
      <c r="I1936" s="327"/>
      <c r="J1936" s="327"/>
      <c r="K1936" s="328"/>
      <c r="L1936" s="327"/>
      <c r="M1936" s="327"/>
      <c r="N1936" s="327"/>
    </row>
    <row r="1937" spans="1:14" x14ac:dyDescent="0.15">
      <c r="A1937" s="327"/>
      <c r="B1937" s="327"/>
      <c r="C1937" s="327"/>
      <c r="D1937" s="327"/>
      <c r="E1937" s="327"/>
      <c r="F1937" s="327"/>
      <c r="G1937" s="320"/>
      <c r="H1937" s="320"/>
      <c r="I1937" s="327"/>
      <c r="J1937" s="327"/>
      <c r="K1937" s="328"/>
      <c r="L1937" s="327"/>
      <c r="M1937" s="327"/>
      <c r="N1937" s="327"/>
    </row>
    <row r="1938" spans="1:14" x14ac:dyDescent="0.15">
      <c r="A1938" s="327"/>
      <c r="B1938" s="327"/>
      <c r="C1938" s="327"/>
      <c r="D1938" s="327"/>
      <c r="E1938" s="327"/>
      <c r="F1938" s="327"/>
      <c r="G1938" s="320"/>
      <c r="H1938" s="320"/>
      <c r="I1938" s="327"/>
      <c r="J1938" s="327"/>
      <c r="K1938" s="328"/>
      <c r="L1938" s="327"/>
      <c r="M1938" s="327"/>
      <c r="N1938" s="327"/>
    </row>
    <row r="1939" spans="1:14" x14ac:dyDescent="0.15">
      <c r="A1939" s="327"/>
      <c r="B1939" s="327"/>
      <c r="C1939" s="327"/>
      <c r="D1939" s="327"/>
      <c r="E1939" s="327"/>
      <c r="F1939" s="327"/>
      <c r="G1939" s="320"/>
      <c r="H1939" s="320"/>
      <c r="I1939" s="327"/>
      <c r="J1939" s="327"/>
      <c r="K1939" s="328"/>
      <c r="L1939" s="327"/>
      <c r="M1939" s="327"/>
      <c r="N1939" s="327"/>
    </row>
    <row r="1940" spans="1:14" x14ac:dyDescent="0.15">
      <c r="A1940" s="327"/>
      <c r="B1940" s="327"/>
      <c r="C1940" s="327"/>
      <c r="D1940" s="327"/>
      <c r="E1940" s="327"/>
      <c r="F1940" s="327"/>
      <c r="G1940" s="320"/>
      <c r="H1940" s="320"/>
      <c r="I1940" s="327"/>
      <c r="J1940" s="327"/>
      <c r="K1940" s="328"/>
      <c r="L1940" s="327"/>
      <c r="M1940" s="327"/>
      <c r="N1940" s="327"/>
    </row>
    <row r="1941" spans="1:14" x14ac:dyDescent="0.15">
      <c r="A1941" s="327"/>
      <c r="B1941" s="327"/>
      <c r="C1941" s="327"/>
      <c r="D1941" s="327"/>
      <c r="E1941" s="327"/>
      <c r="F1941" s="327"/>
      <c r="G1941" s="320"/>
      <c r="H1941" s="320"/>
      <c r="I1941" s="327"/>
      <c r="J1941" s="327"/>
      <c r="K1941" s="328"/>
      <c r="L1941" s="327"/>
      <c r="M1941" s="327"/>
      <c r="N1941" s="327"/>
    </row>
    <row r="1942" spans="1:14" x14ac:dyDescent="0.15">
      <c r="A1942" s="327"/>
      <c r="B1942" s="327"/>
      <c r="C1942" s="327"/>
      <c r="D1942" s="327"/>
      <c r="E1942" s="327"/>
      <c r="F1942" s="327"/>
      <c r="G1942" s="320"/>
      <c r="H1942" s="320"/>
      <c r="I1942" s="327"/>
      <c r="J1942" s="327"/>
      <c r="K1942" s="328"/>
      <c r="L1942" s="327"/>
      <c r="M1942" s="327"/>
      <c r="N1942" s="327"/>
    </row>
    <row r="1943" spans="1:14" x14ac:dyDescent="0.15">
      <c r="A1943" s="327"/>
      <c r="B1943" s="327"/>
      <c r="C1943" s="327"/>
      <c r="D1943" s="327"/>
      <c r="E1943" s="327"/>
      <c r="F1943" s="327"/>
      <c r="G1943" s="320"/>
      <c r="H1943" s="320"/>
      <c r="I1943" s="327"/>
      <c r="J1943" s="327"/>
      <c r="K1943" s="328"/>
      <c r="L1943" s="327"/>
      <c r="M1943" s="327"/>
      <c r="N1943" s="327"/>
    </row>
    <row r="1944" spans="1:14" x14ac:dyDescent="0.15">
      <c r="A1944" s="327"/>
      <c r="B1944" s="327"/>
      <c r="C1944" s="327"/>
      <c r="D1944" s="327"/>
      <c r="E1944" s="327"/>
      <c r="F1944" s="327"/>
      <c r="G1944" s="320"/>
      <c r="H1944" s="320"/>
      <c r="I1944" s="327"/>
      <c r="J1944" s="327"/>
      <c r="K1944" s="328"/>
      <c r="L1944" s="327"/>
      <c r="M1944" s="327"/>
      <c r="N1944" s="327"/>
    </row>
    <row r="1945" spans="1:14" x14ac:dyDescent="0.15">
      <c r="A1945" s="327"/>
      <c r="B1945" s="327"/>
      <c r="C1945" s="327"/>
      <c r="D1945" s="327"/>
      <c r="E1945" s="327"/>
      <c r="F1945" s="327"/>
      <c r="G1945" s="320"/>
      <c r="H1945" s="320"/>
      <c r="I1945" s="327"/>
      <c r="J1945" s="327"/>
      <c r="K1945" s="328"/>
      <c r="L1945" s="327"/>
      <c r="M1945" s="327"/>
      <c r="N1945" s="327"/>
    </row>
    <row r="1946" spans="1:14" x14ac:dyDescent="0.15">
      <c r="A1946" s="327"/>
      <c r="B1946" s="327"/>
      <c r="C1946" s="327"/>
      <c r="D1946" s="327"/>
      <c r="E1946" s="327"/>
      <c r="F1946" s="327"/>
      <c r="G1946" s="320"/>
      <c r="H1946" s="320"/>
      <c r="I1946" s="327"/>
      <c r="J1946" s="327"/>
      <c r="K1946" s="328"/>
      <c r="L1946" s="327"/>
      <c r="M1946" s="327"/>
      <c r="N1946" s="327"/>
    </row>
    <row r="1947" spans="1:14" x14ac:dyDescent="0.15">
      <c r="A1947" s="327"/>
      <c r="B1947" s="327"/>
      <c r="C1947" s="327"/>
      <c r="D1947" s="327"/>
      <c r="E1947" s="327"/>
      <c r="F1947" s="327"/>
      <c r="G1947" s="320"/>
      <c r="H1947" s="320"/>
      <c r="I1947" s="327"/>
      <c r="J1947" s="327"/>
      <c r="K1947" s="328"/>
      <c r="L1947" s="327"/>
      <c r="M1947" s="327"/>
      <c r="N1947" s="327"/>
    </row>
    <row r="1948" spans="1:14" x14ac:dyDescent="0.15">
      <c r="A1948" s="327"/>
      <c r="B1948" s="327"/>
      <c r="C1948" s="327"/>
      <c r="D1948" s="327"/>
      <c r="E1948" s="327"/>
      <c r="F1948" s="327"/>
      <c r="G1948" s="320"/>
      <c r="H1948" s="320"/>
      <c r="I1948" s="327"/>
      <c r="J1948" s="327"/>
      <c r="K1948" s="328"/>
      <c r="L1948" s="327"/>
      <c r="M1948" s="327"/>
      <c r="N1948" s="327"/>
    </row>
    <row r="1949" spans="1:14" x14ac:dyDescent="0.15">
      <c r="A1949" s="327"/>
      <c r="B1949" s="327"/>
      <c r="C1949" s="327"/>
      <c r="D1949" s="327"/>
      <c r="E1949" s="327"/>
      <c r="F1949" s="327"/>
      <c r="G1949" s="320"/>
      <c r="H1949" s="320"/>
      <c r="I1949" s="327"/>
      <c r="J1949" s="327"/>
      <c r="K1949" s="328"/>
      <c r="L1949" s="327"/>
      <c r="M1949" s="327"/>
      <c r="N1949" s="327"/>
    </row>
    <row r="1950" spans="1:14" x14ac:dyDescent="0.15">
      <c r="A1950" s="327"/>
      <c r="B1950" s="327"/>
      <c r="C1950" s="327"/>
      <c r="D1950" s="327"/>
      <c r="E1950" s="327"/>
      <c r="F1950" s="327"/>
      <c r="G1950" s="320"/>
      <c r="H1950" s="320"/>
      <c r="I1950" s="327"/>
      <c r="J1950" s="327"/>
      <c r="K1950" s="328"/>
      <c r="L1950" s="327"/>
      <c r="M1950" s="327"/>
      <c r="N1950" s="327"/>
    </row>
    <row r="1951" spans="1:14" x14ac:dyDescent="0.15">
      <c r="A1951" s="327"/>
      <c r="B1951" s="327"/>
      <c r="C1951" s="327"/>
      <c r="D1951" s="327"/>
      <c r="E1951" s="327"/>
      <c r="F1951" s="327"/>
      <c r="G1951" s="320"/>
      <c r="H1951" s="320"/>
      <c r="I1951" s="327"/>
      <c r="J1951" s="327"/>
      <c r="K1951" s="328"/>
      <c r="L1951" s="327"/>
      <c r="M1951" s="327"/>
      <c r="N1951" s="327"/>
    </row>
    <row r="1952" spans="1:14" x14ac:dyDescent="0.15">
      <c r="A1952" s="327"/>
      <c r="B1952" s="327"/>
      <c r="C1952" s="327"/>
      <c r="D1952" s="327"/>
      <c r="E1952" s="327"/>
      <c r="F1952" s="327"/>
      <c r="G1952" s="320"/>
      <c r="H1952" s="320"/>
      <c r="I1952" s="327"/>
      <c r="J1952" s="327"/>
      <c r="K1952" s="328"/>
      <c r="L1952" s="327"/>
      <c r="M1952" s="327"/>
      <c r="N1952" s="327"/>
    </row>
    <row r="1953" spans="1:14" x14ac:dyDescent="0.15">
      <c r="A1953" s="327"/>
      <c r="B1953" s="327"/>
      <c r="C1953" s="327"/>
      <c r="D1953" s="327"/>
      <c r="E1953" s="327"/>
      <c r="F1953" s="327"/>
      <c r="G1953" s="320"/>
      <c r="H1953" s="320"/>
      <c r="I1953" s="327"/>
      <c r="J1953" s="327"/>
      <c r="K1953" s="328"/>
      <c r="L1953" s="327"/>
      <c r="M1953" s="327"/>
      <c r="N1953" s="327"/>
    </row>
    <row r="1954" spans="1:14" x14ac:dyDescent="0.15">
      <c r="A1954" s="327"/>
      <c r="B1954" s="327"/>
      <c r="C1954" s="327"/>
      <c r="D1954" s="327"/>
      <c r="E1954" s="327"/>
      <c r="F1954" s="327"/>
      <c r="G1954" s="320"/>
      <c r="H1954" s="320"/>
      <c r="I1954" s="327"/>
      <c r="J1954" s="327"/>
      <c r="K1954" s="328"/>
      <c r="L1954" s="327"/>
      <c r="M1954" s="327"/>
      <c r="N1954" s="327"/>
    </row>
    <row r="1955" spans="1:14" x14ac:dyDescent="0.15">
      <c r="A1955" s="327"/>
      <c r="B1955" s="327"/>
      <c r="C1955" s="327"/>
      <c r="D1955" s="327"/>
      <c r="E1955" s="327"/>
      <c r="F1955" s="327"/>
      <c r="G1955" s="320"/>
      <c r="H1955" s="320"/>
      <c r="I1955" s="327"/>
      <c r="J1955" s="327"/>
      <c r="K1955" s="328"/>
      <c r="L1955" s="327"/>
      <c r="M1955" s="327"/>
      <c r="N1955" s="327"/>
    </row>
    <row r="1956" spans="1:14" x14ac:dyDescent="0.15">
      <c r="A1956" s="327"/>
      <c r="B1956" s="327"/>
      <c r="C1956" s="327"/>
      <c r="D1956" s="327"/>
      <c r="E1956" s="327"/>
      <c r="F1956" s="327"/>
      <c r="G1956" s="320"/>
      <c r="H1956" s="320"/>
      <c r="I1956" s="327"/>
      <c r="J1956" s="327"/>
      <c r="K1956" s="328"/>
      <c r="L1956" s="327"/>
      <c r="M1956" s="327"/>
      <c r="N1956" s="327"/>
    </row>
    <row r="1957" spans="1:14" x14ac:dyDescent="0.15">
      <c r="A1957" s="327"/>
      <c r="B1957" s="327"/>
      <c r="C1957" s="327"/>
      <c r="D1957" s="327"/>
      <c r="E1957" s="327"/>
      <c r="F1957" s="327"/>
      <c r="G1957" s="320"/>
      <c r="H1957" s="320"/>
      <c r="I1957" s="327"/>
      <c r="J1957" s="327"/>
      <c r="K1957" s="328"/>
      <c r="L1957" s="327"/>
      <c r="M1957" s="327"/>
      <c r="N1957" s="327"/>
    </row>
    <row r="1958" spans="1:14" x14ac:dyDescent="0.15">
      <c r="A1958" s="327"/>
      <c r="B1958" s="327"/>
      <c r="C1958" s="327"/>
      <c r="D1958" s="327"/>
      <c r="E1958" s="327"/>
      <c r="F1958" s="327"/>
      <c r="G1958" s="320"/>
      <c r="H1958" s="320"/>
      <c r="I1958" s="327"/>
      <c r="J1958" s="327"/>
      <c r="K1958" s="328"/>
      <c r="L1958" s="327"/>
      <c r="M1958" s="327"/>
      <c r="N1958" s="327"/>
    </row>
    <row r="1959" spans="1:14" x14ac:dyDescent="0.15">
      <c r="A1959" s="327"/>
      <c r="B1959" s="327"/>
      <c r="C1959" s="327"/>
      <c r="D1959" s="327"/>
      <c r="E1959" s="327"/>
      <c r="F1959" s="327"/>
      <c r="G1959" s="320"/>
      <c r="H1959" s="320"/>
      <c r="I1959" s="327"/>
      <c r="J1959" s="327"/>
      <c r="K1959" s="328"/>
      <c r="L1959" s="327"/>
      <c r="M1959" s="327"/>
      <c r="N1959" s="327"/>
    </row>
    <row r="1960" spans="1:14" x14ac:dyDescent="0.15">
      <c r="A1960" s="327"/>
      <c r="B1960" s="327"/>
      <c r="C1960" s="327"/>
      <c r="D1960" s="327"/>
      <c r="E1960" s="327"/>
      <c r="F1960" s="327"/>
      <c r="G1960" s="320"/>
      <c r="H1960" s="320"/>
      <c r="I1960" s="327"/>
      <c r="J1960" s="327"/>
      <c r="K1960" s="328"/>
      <c r="L1960" s="327"/>
      <c r="M1960" s="327"/>
      <c r="N1960" s="327"/>
    </row>
    <row r="1961" spans="1:14" x14ac:dyDescent="0.15">
      <c r="A1961" s="327"/>
      <c r="B1961" s="327"/>
      <c r="C1961" s="327"/>
      <c r="D1961" s="327"/>
      <c r="E1961" s="327"/>
      <c r="F1961" s="327"/>
      <c r="G1961" s="320"/>
      <c r="H1961" s="320"/>
      <c r="I1961" s="327"/>
      <c r="J1961" s="327"/>
      <c r="K1961" s="328"/>
      <c r="L1961" s="327"/>
      <c r="M1961" s="327"/>
      <c r="N1961" s="327"/>
    </row>
    <row r="1962" spans="1:14" x14ac:dyDescent="0.15">
      <c r="A1962" s="327"/>
      <c r="B1962" s="327"/>
      <c r="C1962" s="327"/>
      <c r="D1962" s="327"/>
      <c r="E1962" s="327"/>
      <c r="F1962" s="327"/>
      <c r="G1962" s="320"/>
      <c r="H1962" s="320"/>
      <c r="I1962" s="327"/>
      <c r="J1962" s="327"/>
      <c r="K1962" s="328"/>
      <c r="L1962" s="327"/>
      <c r="M1962" s="327"/>
      <c r="N1962" s="327"/>
    </row>
    <row r="1963" spans="1:14" x14ac:dyDescent="0.15">
      <c r="A1963" s="327"/>
      <c r="B1963" s="327"/>
      <c r="C1963" s="327"/>
      <c r="D1963" s="327"/>
      <c r="E1963" s="327"/>
      <c r="F1963" s="327"/>
      <c r="G1963" s="320"/>
      <c r="H1963" s="320"/>
      <c r="I1963" s="327"/>
      <c r="J1963" s="327"/>
      <c r="K1963" s="328"/>
      <c r="L1963" s="327"/>
      <c r="M1963" s="327"/>
      <c r="N1963" s="327"/>
    </row>
    <row r="1964" spans="1:14" x14ac:dyDescent="0.15">
      <c r="A1964" s="327"/>
      <c r="B1964" s="327"/>
      <c r="C1964" s="327"/>
      <c r="D1964" s="327"/>
      <c r="E1964" s="327"/>
      <c r="F1964" s="327"/>
      <c r="G1964" s="320"/>
      <c r="H1964" s="320"/>
      <c r="I1964" s="327"/>
      <c r="J1964" s="327"/>
      <c r="K1964" s="328"/>
      <c r="L1964" s="327"/>
      <c r="M1964" s="327"/>
      <c r="N1964" s="327"/>
    </row>
    <row r="1965" spans="1:14" x14ac:dyDescent="0.15">
      <c r="A1965" s="327"/>
      <c r="B1965" s="327"/>
      <c r="C1965" s="327"/>
      <c r="D1965" s="327"/>
      <c r="E1965" s="327"/>
      <c r="F1965" s="327"/>
      <c r="G1965" s="320"/>
      <c r="H1965" s="320"/>
      <c r="I1965" s="327"/>
      <c r="J1965" s="327"/>
      <c r="K1965" s="328"/>
      <c r="L1965" s="327"/>
      <c r="M1965" s="327"/>
      <c r="N1965" s="327"/>
    </row>
    <row r="1966" spans="1:14" x14ac:dyDescent="0.15">
      <c r="A1966" s="327"/>
      <c r="B1966" s="327"/>
      <c r="C1966" s="327"/>
      <c r="D1966" s="327"/>
      <c r="E1966" s="327"/>
      <c r="F1966" s="327"/>
      <c r="G1966" s="320"/>
      <c r="H1966" s="320"/>
      <c r="I1966" s="327"/>
      <c r="J1966" s="327"/>
      <c r="K1966" s="328"/>
      <c r="L1966" s="327"/>
      <c r="M1966" s="327"/>
      <c r="N1966" s="327"/>
    </row>
    <row r="1967" spans="1:14" x14ac:dyDescent="0.15">
      <c r="A1967" s="327"/>
      <c r="B1967" s="327"/>
      <c r="C1967" s="327"/>
      <c r="D1967" s="327"/>
      <c r="E1967" s="327"/>
      <c r="F1967" s="327"/>
      <c r="G1967" s="320"/>
      <c r="H1967" s="320"/>
      <c r="I1967" s="327"/>
      <c r="J1967" s="327"/>
      <c r="K1967" s="328"/>
      <c r="L1967" s="327"/>
      <c r="M1967" s="327"/>
      <c r="N1967" s="327"/>
    </row>
    <row r="1968" spans="1:14" x14ac:dyDescent="0.15">
      <c r="A1968" s="327"/>
      <c r="B1968" s="327"/>
      <c r="C1968" s="327"/>
      <c r="D1968" s="327"/>
      <c r="E1968" s="327"/>
      <c r="F1968" s="327"/>
      <c r="G1968" s="320"/>
      <c r="H1968" s="320"/>
      <c r="I1968" s="327"/>
      <c r="J1968" s="327"/>
      <c r="K1968" s="328"/>
      <c r="L1968" s="327"/>
      <c r="M1968" s="327"/>
      <c r="N1968" s="327"/>
    </row>
    <row r="1969" spans="1:14" x14ac:dyDescent="0.15">
      <c r="A1969" s="327"/>
      <c r="B1969" s="327"/>
      <c r="C1969" s="327"/>
      <c r="D1969" s="327"/>
      <c r="E1969" s="327"/>
      <c r="F1969" s="327"/>
      <c r="G1969" s="320"/>
      <c r="H1969" s="320"/>
      <c r="I1969" s="327"/>
      <c r="J1969" s="327"/>
      <c r="K1969" s="328"/>
      <c r="L1969" s="327"/>
      <c r="M1969" s="327"/>
      <c r="N1969" s="327"/>
    </row>
    <row r="1970" spans="1:14" x14ac:dyDescent="0.15">
      <c r="A1970" s="327"/>
      <c r="B1970" s="327"/>
      <c r="C1970" s="327"/>
      <c r="D1970" s="327"/>
      <c r="E1970" s="327"/>
      <c r="F1970" s="327"/>
      <c r="G1970" s="320"/>
      <c r="H1970" s="320"/>
      <c r="I1970" s="327"/>
      <c r="J1970" s="327"/>
      <c r="K1970" s="328"/>
      <c r="L1970" s="327"/>
      <c r="M1970" s="327"/>
      <c r="N1970" s="327"/>
    </row>
    <row r="1971" spans="1:14" x14ac:dyDescent="0.15">
      <c r="A1971" s="327"/>
      <c r="B1971" s="327"/>
      <c r="C1971" s="327"/>
      <c r="D1971" s="327"/>
      <c r="E1971" s="327"/>
      <c r="F1971" s="327"/>
      <c r="G1971" s="320"/>
      <c r="H1971" s="320"/>
      <c r="I1971" s="327"/>
      <c r="J1971" s="327"/>
      <c r="K1971" s="328"/>
      <c r="L1971" s="327"/>
      <c r="M1971" s="327"/>
      <c r="N1971" s="327"/>
    </row>
    <row r="1972" spans="1:14" x14ac:dyDescent="0.15">
      <c r="A1972" s="327"/>
      <c r="B1972" s="327"/>
      <c r="C1972" s="327"/>
      <c r="D1972" s="327"/>
      <c r="E1972" s="327"/>
      <c r="F1972" s="327"/>
      <c r="G1972" s="320"/>
      <c r="H1972" s="320"/>
      <c r="I1972" s="327"/>
      <c r="J1972" s="327"/>
      <c r="K1972" s="328"/>
      <c r="L1972" s="327"/>
      <c r="M1972" s="327"/>
      <c r="N1972" s="327"/>
    </row>
    <row r="1973" spans="1:14" x14ac:dyDescent="0.15">
      <c r="A1973" s="327"/>
      <c r="B1973" s="327"/>
      <c r="C1973" s="327"/>
      <c r="D1973" s="327"/>
      <c r="E1973" s="327"/>
      <c r="F1973" s="327"/>
      <c r="G1973" s="320"/>
      <c r="H1973" s="320"/>
      <c r="I1973" s="327"/>
      <c r="J1973" s="327"/>
      <c r="K1973" s="328"/>
      <c r="L1973" s="327"/>
      <c r="M1973" s="327"/>
      <c r="N1973" s="327"/>
    </row>
    <row r="1974" spans="1:14" x14ac:dyDescent="0.15">
      <c r="A1974" s="327"/>
      <c r="B1974" s="327"/>
      <c r="C1974" s="327"/>
      <c r="D1974" s="327"/>
      <c r="E1974" s="327"/>
      <c r="F1974" s="327"/>
      <c r="G1974" s="320"/>
      <c r="H1974" s="320"/>
      <c r="I1974" s="327"/>
      <c r="J1974" s="327"/>
      <c r="K1974" s="328"/>
      <c r="L1974" s="327"/>
      <c r="M1974" s="327"/>
      <c r="N1974" s="327"/>
    </row>
    <row r="1975" spans="1:14" x14ac:dyDescent="0.15">
      <c r="A1975" s="327"/>
      <c r="B1975" s="327"/>
      <c r="C1975" s="327"/>
      <c r="D1975" s="327"/>
      <c r="E1975" s="327"/>
      <c r="F1975" s="327"/>
      <c r="G1975" s="320"/>
      <c r="H1975" s="320"/>
      <c r="I1975" s="327"/>
      <c r="J1975" s="327"/>
      <c r="K1975" s="328"/>
      <c r="L1975" s="327"/>
      <c r="M1975" s="327"/>
      <c r="N1975" s="327"/>
    </row>
    <row r="1976" spans="1:14" x14ac:dyDescent="0.15">
      <c r="A1976" s="327"/>
      <c r="B1976" s="327"/>
      <c r="C1976" s="327"/>
      <c r="D1976" s="327"/>
      <c r="E1976" s="327"/>
      <c r="F1976" s="327"/>
      <c r="G1976" s="320"/>
      <c r="H1976" s="320"/>
      <c r="I1976" s="327"/>
      <c r="J1976" s="327"/>
      <c r="K1976" s="328"/>
      <c r="L1976" s="327"/>
      <c r="M1976" s="327"/>
      <c r="N1976" s="327"/>
    </row>
    <row r="1977" spans="1:14" x14ac:dyDescent="0.15">
      <c r="A1977" s="327"/>
      <c r="B1977" s="327"/>
      <c r="C1977" s="327"/>
      <c r="D1977" s="327"/>
      <c r="E1977" s="327"/>
      <c r="F1977" s="327"/>
      <c r="G1977" s="320"/>
      <c r="H1977" s="320"/>
      <c r="I1977" s="327"/>
      <c r="J1977" s="327"/>
      <c r="K1977" s="328"/>
      <c r="L1977" s="327"/>
      <c r="M1977" s="327"/>
      <c r="N1977" s="327"/>
    </row>
    <row r="1978" spans="1:14" x14ac:dyDescent="0.15">
      <c r="A1978" s="327"/>
      <c r="B1978" s="327"/>
      <c r="C1978" s="327"/>
      <c r="D1978" s="327"/>
      <c r="E1978" s="327"/>
      <c r="F1978" s="327"/>
      <c r="G1978" s="320"/>
      <c r="H1978" s="320"/>
      <c r="I1978" s="327"/>
      <c r="J1978" s="327"/>
      <c r="K1978" s="328"/>
      <c r="L1978" s="327"/>
      <c r="M1978" s="327"/>
      <c r="N1978" s="327"/>
    </row>
    <row r="1979" spans="1:14" x14ac:dyDescent="0.15">
      <c r="A1979" s="327"/>
      <c r="B1979" s="327"/>
      <c r="C1979" s="327"/>
      <c r="D1979" s="327"/>
      <c r="E1979" s="327"/>
      <c r="F1979" s="327"/>
      <c r="G1979" s="320"/>
      <c r="H1979" s="320"/>
      <c r="I1979" s="327"/>
      <c r="J1979" s="327"/>
      <c r="K1979" s="328"/>
      <c r="L1979" s="327"/>
      <c r="M1979" s="327"/>
      <c r="N1979" s="327"/>
    </row>
    <row r="1980" spans="1:14" x14ac:dyDescent="0.15">
      <c r="A1980" s="327"/>
      <c r="B1980" s="327"/>
      <c r="C1980" s="327"/>
      <c r="D1980" s="327"/>
      <c r="E1980" s="327"/>
      <c r="F1980" s="327"/>
      <c r="G1980" s="320"/>
      <c r="H1980" s="320"/>
      <c r="I1980" s="327"/>
      <c r="J1980" s="327"/>
      <c r="K1980" s="328"/>
      <c r="L1980" s="327"/>
      <c r="M1980" s="327"/>
      <c r="N1980" s="327"/>
    </row>
    <row r="1981" spans="1:14" x14ac:dyDescent="0.15">
      <c r="A1981" s="327"/>
      <c r="B1981" s="327"/>
      <c r="C1981" s="327"/>
      <c r="D1981" s="327"/>
      <c r="E1981" s="327"/>
      <c r="F1981" s="327"/>
      <c r="G1981" s="320"/>
      <c r="H1981" s="320"/>
      <c r="I1981" s="327"/>
      <c r="J1981" s="327"/>
      <c r="K1981" s="328"/>
      <c r="L1981" s="327"/>
      <c r="M1981" s="327"/>
      <c r="N1981" s="327"/>
    </row>
    <row r="1982" spans="1:14" x14ac:dyDescent="0.15">
      <c r="A1982" s="327"/>
      <c r="B1982" s="327"/>
      <c r="C1982" s="327"/>
      <c r="D1982" s="327"/>
      <c r="E1982" s="327"/>
      <c r="F1982" s="327"/>
      <c r="G1982" s="320"/>
      <c r="H1982" s="320"/>
      <c r="I1982" s="327"/>
      <c r="J1982" s="327"/>
      <c r="K1982" s="328"/>
      <c r="L1982" s="327"/>
      <c r="M1982" s="327"/>
      <c r="N1982" s="327"/>
    </row>
    <row r="1983" spans="1:14" x14ac:dyDescent="0.15">
      <c r="A1983" s="327"/>
      <c r="B1983" s="327"/>
      <c r="C1983" s="327"/>
      <c r="D1983" s="327"/>
      <c r="E1983" s="327"/>
      <c r="F1983" s="327"/>
      <c r="G1983" s="320"/>
      <c r="H1983" s="320"/>
      <c r="I1983" s="327"/>
      <c r="J1983" s="327"/>
      <c r="K1983" s="328"/>
      <c r="L1983" s="327"/>
      <c r="M1983" s="327"/>
      <c r="N1983" s="327"/>
    </row>
    <row r="1984" spans="1:14" x14ac:dyDescent="0.15">
      <c r="A1984" s="327"/>
      <c r="B1984" s="327"/>
      <c r="C1984" s="327"/>
      <c r="D1984" s="327"/>
      <c r="E1984" s="327"/>
      <c r="F1984" s="327"/>
      <c r="G1984" s="320"/>
      <c r="H1984" s="320"/>
      <c r="I1984" s="327"/>
      <c r="J1984" s="327"/>
      <c r="K1984" s="328"/>
      <c r="L1984" s="327"/>
      <c r="M1984" s="327"/>
      <c r="N1984" s="327"/>
    </row>
    <row r="1985" spans="1:14" x14ac:dyDescent="0.15">
      <c r="A1985" s="327"/>
      <c r="B1985" s="327"/>
      <c r="C1985" s="327"/>
      <c r="D1985" s="327"/>
      <c r="E1985" s="327"/>
      <c r="F1985" s="327"/>
      <c r="G1985" s="320"/>
      <c r="H1985" s="320"/>
      <c r="I1985" s="327"/>
      <c r="J1985" s="327"/>
      <c r="K1985" s="328"/>
      <c r="L1985" s="327"/>
      <c r="M1985" s="327"/>
      <c r="N1985" s="327"/>
    </row>
    <row r="1986" spans="1:14" x14ac:dyDescent="0.15">
      <c r="A1986" s="327"/>
      <c r="B1986" s="327"/>
      <c r="C1986" s="327"/>
      <c r="D1986" s="327"/>
      <c r="E1986" s="327"/>
      <c r="F1986" s="327"/>
      <c r="G1986" s="320"/>
      <c r="H1986" s="320"/>
      <c r="I1986" s="327"/>
      <c r="J1986" s="327"/>
      <c r="K1986" s="328"/>
      <c r="L1986" s="327"/>
      <c r="M1986" s="327"/>
      <c r="N1986" s="327"/>
    </row>
    <row r="1987" spans="1:14" x14ac:dyDescent="0.15">
      <c r="A1987" s="327"/>
      <c r="B1987" s="327"/>
      <c r="C1987" s="327"/>
      <c r="D1987" s="327"/>
      <c r="E1987" s="327"/>
      <c r="F1987" s="327"/>
      <c r="G1987" s="320"/>
      <c r="H1987" s="320"/>
      <c r="I1987" s="327"/>
      <c r="J1987" s="327"/>
      <c r="K1987" s="328"/>
      <c r="L1987" s="327"/>
      <c r="M1987" s="327"/>
      <c r="N1987" s="327"/>
    </row>
    <row r="1988" spans="1:14" x14ac:dyDescent="0.15">
      <c r="A1988" s="327"/>
      <c r="B1988" s="327"/>
      <c r="C1988" s="327"/>
      <c r="D1988" s="327"/>
      <c r="E1988" s="327"/>
      <c r="F1988" s="327"/>
      <c r="G1988" s="320"/>
      <c r="H1988" s="320"/>
      <c r="I1988" s="327"/>
      <c r="J1988" s="327"/>
      <c r="K1988" s="328"/>
      <c r="L1988" s="327"/>
      <c r="M1988" s="327"/>
      <c r="N1988" s="327"/>
    </row>
    <row r="1989" spans="1:14" x14ac:dyDescent="0.15">
      <c r="A1989" s="327"/>
      <c r="B1989" s="327"/>
      <c r="C1989" s="327"/>
      <c r="D1989" s="327"/>
      <c r="E1989" s="327"/>
      <c r="F1989" s="327"/>
      <c r="G1989" s="320"/>
      <c r="H1989" s="320"/>
      <c r="I1989" s="327"/>
      <c r="J1989" s="327"/>
      <c r="K1989" s="328"/>
      <c r="L1989" s="327"/>
      <c r="M1989" s="327"/>
      <c r="N1989" s="327"/>
    </row>
    <row r="1990" spans="1:14" x14ac:dyDescent="0.15">
      <c r="A1990" s="327"/>
      <c r="B1990" s="327"/>
      <c r="C1990" s="327"/>
      <c r="D1990" s="327"/>
      <c r="E1990" s="327"/>
      <c r="F1990" s="327"/>
      <c r="G1990" s="320"/>
      <c r="H1990" s="320"/>
      <c r="I1990" s="327"/>
      <c r="J1990" s="327"/>
      <c r="K1990" s="328"/>
      <c r="L1990" s="327"/>
      <c r="M1990" s="327"/>
      <c r="N1990" s="327"/>
    </row>
    <row r="1991" spans="1:14" x14ac:dyDescent="0.15">
      <c r="A1991" s="327"/>
      <c r="B1991" s="327"/>
      <c r="C1991" s="327"/>
      <c r="D1991" s="327"/>
      <c r="E1991" s="327"/>
      <c r="F1991" s="327"/>
      <c r="G1991" s="320"/>
      <c r="H1991" s="320"/>
      <c r="I1991" s="327"/>
      <c r="J1991" s="327"/>
      <c r="K1991" s="328"/>
      <c r="L1991" s="327"/>
      <c r="M1991" s="327"/>
      <c r="N1991" s="327"/>
    </row>
    <row r="1992" spans="1:14" x14ac:dyDescent="0.15">
      <c r="A1992" s="327"/>
      <c r="B1992" s="327"/>
      <c r="C1992" s="327"/>
      <c r="D1992" s="327"/>
      <c r="E1992" s="327"/>
      <c r="F1992" s="327"/>
      <c r="G1992" s="320"/>
      <c r="H1992" s="320"/>
      <c r="I1992" s="327"/>
      <c r="J1992" s="327"/>
      <c r="K1992" s="328"/>
      <c r="L1992" s="327"/>
      <c r="M1992" s="327"/>
      <c r="N1992" s="327"/>
    </row>
    <row r="1993" spans="1:14" x14ac:dyDescent="0.15">
      <c r="A1993" s="327"/>
      <c r="B1993" s="327"/>
      <c r="C1993" s="327"/>
      <c r="D1993" s="327"/>
      <c r="E1993" s="327"/>
      <c r="F1993" s="327"/>
      <c r="G1993" s="320"/>
      <c r="H1993" s="320"/>
      <c r="I1993" s="327"/>
      <c r="J1993" s="327"/>
      <c r="K1993" s="328"/>
      <c r="L1993" s="327"/>
      <c r="M1993" s="327"/>
      <c r="N1993" s="327"/>
    </row>
    <row r="1994" spans="1:14" x14ac:dyDescent="0.15">
      <c r="A1994" s="327"/>
      <c r="B1994" s="327"/>
      <c r="C1994" s="327"/>
      <c r="D1994" s="327"/>
      <c r="E1994" s="327"/>
      <c r="F1994" s="327"/>
      <c r="G1994" s="320"/>
      <c r="H1994" s="320"/>
      <c r="I1994" s="327"/>
      <c r="J1994" s="327"/>
      <c r="K1994" s="328"/>
      <c r="L1994" s="327"/>
      <c r="M1994" s="327"/>
      <c r="N1994" s="327"/>
    </row>
    <row r="1995" spans="1:14" x14ac:dyDescent="0.15">
      <c r="A1995" s="327"/>
      <c r="B1995" s="327"/>
      <c r="C1995" s="327"/>
      <c r="D1995" s="327"/>
      <c r="E1995" s="327"/>
      <c r="F1995" s="327"/>
      <c r="G1995" s="320"/>
      <c r="H1995" s="320"/>
      <c r="I1995" s="327"/>
      <c r="J1995" s="327"/>
      <c r="K1995" s="328"/>
      <c r="L1995" s="327"/>
      <c r="M1995" s="327"/>
      <c r="N1995" s="327"/>
    </row>
    <row r="1996" spans="1:14" x14ac:dyDescent="0.15">
      <c r="A1996" s="327"/>
      <c r="B1996" s="327"/>
      <c r="C1996" s="327"/>
      <c r="D1996" s="327"/>
      <c r="E1996" s="327"/>
      <c r="F1996" s="327"/>
      <c r="G1996" s="320"/>
      <c r="H1996" s="320"/>
      <c r="I1996" s="327"/>
      <c r="J1996" s="327"/>
      <c r="K1996" s="328"/>
      <c r="L1996" s="327"/>
      <c r="M1996" s="327"/>
      <c r="N1996" s="327"/>
    </row>
    <row r="1997" spans="1:14" x14ac:dyDescent="0.15">
      <c r="A1997" s="327"/>
      <c r="B1997" s="327"/>
      <c r="C1997" s="327"/>
      <c r="D1997" s="327"/>
      <c r="E1997" s="327"/>
      <c r="F1997" s="327"/>
      <c r="G1997" s="320"/>
      <c r="H1997" s="320"/>
      <c r="I1997" s="327"/>
      <c r="J1997" s="327"/>
      <c r="K1997" s="328"/>
      <c r="L1997" s="327"/>
      <c r="M1997" s="327"/>
      <c r="N1997" s="327"/>
    </row>
    <row r="1998" spans="1:14" x14ac:dyDescent="0.15">
      <c r="A1998" s="327"/>
      <c r="B1998" s="327"/>
      <c r="C1998" s="327"/>
      <c r="D1998" s="327"/>
      <c r="E1998" s="327"/>
      <c r="F1998" s="327"/>
      <c r="G1998" s="320"/>
      <c r="H1998" s="320"/>
      <c r="I1998" s="327"/>
      <c r="J1998" s="327"/>
      <c r="K1998" s="328"/>
      <c r="L1998" s="327"/>
      <c r="M1998" s="327"/>
      <c r="N1998" s="327"/>
    </row>
    <row r="1999" spans="1:14" x14ac:dyDescent="0.15">
      <c r="A1999" s="327"/>
      <c r="B1999" s="327"/>
      <c r="C1999" s="327"/>
      <c r="D1999" s="327"/>
      <c r="E1999" s="327"/>
      <c r="F1999" s="327"/>
      <c r="G1999" s="320"/>
      <c r="H1999" s="320"/>
      <c r="I1999" s="327"/>
      <c r="J1999" s="327"/>
      <c r="K1999" s="328"/>
      <c r="L1999" s="327"/>
      <c r="M1999" s="327"/>
      <c r="N1999" s="327"/>
    </row>
    <row r="2000" spans="1:14" x14ac:dyDescent="0.15">
      <c r="A2000" s="327"/>
      <c r="B2000" s="327"/>
      <c r="C2000" s="327"/>
      <c r="D2000" s="327"/>
      <c r="E2000" s="327"/>
      <c r="F2000" s="327"/>
      <c r="G2000" s="320"/>
      <c r="H2000" s="320"/>
      <c r="I2000" s="327"/>
      <c r="J2000" s="327"/>
      <c r="K2000" s="328"/>
      <c r="L2000" s="327"/>
      <c r="M2000" s="327"/>
      <c r="N2000" s="327"/>
    </row>
    <row r="2001" spans="1:14" x14ac:dyDescent="0.15">
      <c r="A2001" s="327"/>
      <c r="B2001" s="327"/>
      <c r="C2001" s="327"/>
      <c r="D2001" s="327"/>
      <c r="E2001" s="327"/>
      <c r="F2001" s="327"/>
      <c r="G2001" s="320"/>
      <c r="H2001" s="320"/>
      <c r="I2001" s="327"/>
      <c r="J2001" s="327"/>
      <c r="K2001" s="328"/>
      <c r="L2001" s="327"/>
      <c r="M2001" s="327"/>
      <c r="N2001" s="327"/>
    </row>
    <row r="2002" spans="1:14" x14ac:dyDescent="0.15">
      <c r="A2002" s="327"/>
      <c r="B2002" s="327"/>
      <c r="C2002" s="327"/>
      <c r="D2002" s="327"/>
      <c r="E2002" s="327"/>
      <c r="F2002" s="327"/>
      <c r="G2002" s="320"/>
      <c r="H2002" s="320"/>
      <c r="I2002" s="327"/>
      <c r="J2002" s="327"/>
      <c r="K2002" s="328"/>
      <c r="L2002" s="327"/>
      <c r="M2002" s="327"/>
      <c r="N2002" s="327"/>
    </row>
    <row r="2003" spans="1:14" x14ac:dyDescent="0.15">
      <c r="A2003" s="327"/>
      <c r="B2003" s="327"/>
      <c r="C2003" s="327"/>
      <c r="D2003" s="327"/>
      <c r="E2003" s="327"/>
      <c r="F2003" s="327"/>
      <c r="G2003" s="320"/>
      <c r="H2003" s="320"/>
      <c r="I2003" s="327"/>
      <c r="J2003" s="327"/>
      <c r="K2003" s="328"/>
      <c r="L2003" s="327"/>
      <c r="M2003" s="327"/>
      <c r="N2003" s="327"/>
    </row>
    <row r="2004" spans="1:14" x14ac:dyDescent="0.15">
      <c r="A2004" s="327"/>
      <c r="B2004" s="327"/>
      <c r="C2004" s="327"/>
      <c r="D2004" s="327"/>
      <c r="E2004" s="327"/>
      <c r="F2004" s="327"/>
      <c r="G2004" s="320"/>
      <c r="H2004" s="320"/>
      <c r="I2004" s="327"/>
      <c r="J2004" s="327"/>
      <c r="K2004" s="328"/>
      <c r="L2004" s="327"/>
      <c r="M2004" s="327"/>
      <c r="N2004" s="327"/>
    </row>
    <row r="2005" spans="1:14" x14ac:dyDescent="0.15">
      <c r="A2005" s="327"/>
      <c r="B2005" s="327"/>
      <c r="C2005" s="327"/>
      <c r="D2005" s="327"/>
      <c r="E2005" s="327"/>
      <c r="F2005" s="327"/>
      <c r="G2005" s="320"/>
      <c r="H2005" s="320"/>
      <c r="I2005" s="327"/>
      <c r="J2005" s="327"/>
      <c r="K2005" s="328"/>
      <c r="L2005" s="327"/>
      <c r="M2005" s="327"/>
      <c r="N2005" s="327"/>
    </row>
    <row r="2006" spans="1:14" x14ac:dyDescent="0.15">
      <c r="A2006" s="327"/>
      <c r="B2006" s="327"/>
      <c r="C2006" s="327"/>
      <c r="D2006" s="327"/>
      <c r="E2006" s="327"/>
      <c r="F2006" s="327"/>
      <c r="G2006" s="320"/>
      <c r="H2006" s="320"/>
      <c r="I2006" s="327"/>
      <c r="J2006" s="327"/>
      <c r="K2006" s="328"/>
      <c r="L2006" s="327"/>
      <c r="M2006" s="327"/>
      <c r="N2006" s="327"/>
    </row>
    <row r="2007" spans="1:14" x14ac:dyDescent="0.15">
      <c r="A2007" s="327"/>
      <c r="B2007" s="327"/>
      <c r="C2007" s="327"/>
      <c r="D2007" s="327"/>
      <c r="E2007" s="327"/>
      <c r="F2007" s="327"/>
      <c r="G2007" s="320"/>
      <c r="H2007" s="320"/>
      <c r="I2007" s="327"/>
      <c r="J2007" s="327"/>
      <c r="K2007" s="328"/>
      <c r="L2007" s="327"/>
      <c r="M2007" s="327"/>
      <c r="N2007" s="327"/>
    </row>
    <row r="2008" spans="1:14" x14ac:dyDescent="0.15">
      <c r="A2008" s="327"/>
      <c r="B2008" s="327"/>
      <c r="C2008" s="327"/>
      <c r="D2008" s="327"/>
      <c r="E2008" s="327"/>
      <c r="F2008" s="327"/>
      <c r="G2008" s="320"/>
      <c r="H2008" s="320"/>
      <c r="I2008" s="327"/>
      <c r="J2008" s="327"/>
      <c r="K2008" s="328"/>
      <c r="L2008" s="327"/>
      <c r="M2008" s="327"/>
      <c r="N2008" s="327"/>
    </row>
    <row r="2009" spans="1:14" x14ac:dyDescent="0.15">
      <c r="A2009" s="327"/>
      <c r="B2009" s="327"/>
      <c r="C2009" s="327"/>
      <c r="D2009" s="327"/>
      <c r="E2009" s="327"/>
      <c r="F2009" s="327"/>
      <c r="G2009" s="320"/>
      <c r="H2009" s="320"/>
      <c r="I2009" s="327"/>
      <c r="J2009" s="327"/>
      <c r="K2009" s="328"/>
      <c r="L2009" s="327"/>
      <c r="M2009" s="327"/>
      <c r="N2009" s="327"/>
    </row>
    <row r="2010" spans="1:14" x14ac:dyDescent="0.15">
      <c r="A2010" s="327"/>
      <c r="B2010" s="327"/>
      <c r="C2010" s="327"/>
      <c r="D2010" s="327"/>
      <c r="E2010" s="327"/>
      <c r="F2010" s="327"/>
      <c r="G2010" s="320"/>
      <c r="H2010" s="320"/>
      <c r="I2010" s="327"/>
      <c r="J2010" s="327"/>
      <c r="K2010" s="328"/>
      <c r="L2010" s="327"/>
      <c r="M2010" s="327"/>
      <c r="N2010" s="327"/>
    </row>
    <row r="2011" spans="1:14" x14ac:dyDescent="0.15">
      <c r="A2011" s="327"/>
      <c r="B2011" s="327"/>
      <c r="C2011" s="327"/>
      <c r="D2011" s="327"/>
      <c r="E2011" s="327"/>
      <c r="F2011" s="327"/>
      <c r="G2011" s="320"/>
      <c r="H2011" s="320"/>
      <c r="I2011" s="327"/>
      <c r="J2011" s="327"/>
      <c r="K2011" s="328"/>
      <c r="L2011" s="327"/>
      <c r="M2011" s="327"/>
      <c r="N2011" s="327"/>
    </row>
    <row r="2012" spans="1:14" x14ac:dyDescent="0.15">
      <c r="A2012" s="327"/>
      <c r="B2012" s="327"/>
      <c r="C2012" s="327"/>
      <c r="D2012" s="327"/>
      <c r="E2012" s="327"/>
      <c r="F2012" s="327"/>
      <c r="G2012" s="320"/>
      <c r="H2012" s="320"/>
      <c r="I2012" s="327"/>
      <c r="J2012" s="327"/>
      <c r="K2012" s="328"/>
      <c r="L2012" s="327"/>
      <c r="M2012" s="327"/>
      <c r="N2012" s="327"/>
    </row>
    <row r="2013" spans="1:14" x14ac:dyDescent="0.15">
      <c r="A2013" s="327"/>
      <c r="B2013" s="327"/>
      <c r="C2013" s="327"/>
      <c r="D2013" s="327"/>
      <c r="E2013" s="327"/>
      <c r="F2013" s="327"/>
      <c r="G2013" s="320"/>
      <c r="H2013" s="320"/>
      <c r="I2013" s="327"/>
      <c r="J2013" s="327"/>
      <c r="K2013" s="328"/>
      <c r="L2013" s="327"/>
      <c r="M2013" s="327"/>
      <c r="N2013" s="327"/>
    </row>
    <row r="2014" spans="1:14" x14ac:dyDescent="0.15">
      <c r="A2014" s="327"/>
      <c r="B2014" s="327"/>
      <c r="C2014" s="327"/>
      <c r="D2014" s="327"/>
      <c r="E2014" s="327"/>
      <c r="F2014" s="327"/>
      <c r="G2014" s="320"/>
      <c r="H2014" s="320"/>
      <c r="I2014" s="327"/>
      <c r="J2014" s="327"/>
      <c r="K2014" s="328"/>
      <c r="L2014" s="327"/>
      <c r="M2014" s="327"/>
      <c r="N2014" s="327"/>
    </row>
    <row r="2015" spans="1:14" x14ac:dyDescent="0.15">
      <c r="A2015" s="327"/>
      <c r="B2015" s="327"/>
      <c r="C2015" s="327"/>
      <c r="D2015" s="327"/>
      <c r="E2015" s="327"/>
      <c r="F2015" s="327"/>
      <c r="G2015" s="320"/>
      <c r="H2015" s="320"/>
      <c r="I2015" s="327"/>
      <c r="J2015" s="327"/>
      <c r="K2015" s="328"/>
      <c r="L2015" s="327"/>
      <c r="M2015" s="327"/>
      <c r="N2015" s="327"/>
    </row>
    <row r="2016" spans="1:14" x14ac:dyDescent="0.15">
      <c r="A2016" s="327"/>
      <c r="B2016" s="327"/>
      <c r="C2016" s="327"/>
      <c r="D2016" s="327"/>
      <c r="E2016" s="327"/>
      <c r="F2016" s="327"/>
      <c r="G2016" s="320"/>
      <c r="H2016" s="320"/>
      <c r="I2016" s="327"/>
      <c r="J2016" s="327"/>
      <c r="K2016" s="328"/>
      <c r="L2016" s="327"/>
      <c r="M2016" s="327"/>
      <c r="N2016" s="327"/>
    </row>
    <row r="2017" spans="1:14" x14ac:dyDescent="0.15">
      <c r="A2017" s="327"/>
      <c r="B2017" s="327"/>
      <c r="C2017" s="327"/>
      <c r="D2017" s="327"/>
      <c r="E2017" s="327"/>
      <c r="F2017" s="327"/>
      <c r="G2017" s="320"/>
      <c r="H2017" s="320"/>
      <c r="I2017" s="327"/>
      <c r="J2017" s="327"/>
      <c r="K2017" s="328"/>
      <c r="L2017" s="327"/>
      <c r="M2017" s="327"/>
      <c r="N2017" s="327"/>
    </row>
    <row r="2018" spans="1:14" x14ac:dyDescent="0.15">
      <c r="A2018" s="327"/>
      <c r="B2018" s="327"/>
      <c r="C2018" s="327"/>
      <c r="D2018" s="327"/>
      <c r="E2018" s="327"/>
      <c r="F2018" s="327"/>
      <c r="G2018" s="320"/>
      <c r="H2018" s="320"/>
      <c r="I2018" s="327"/>
      <c r="J2018" s="327"/>
      <c r="K2018" s="328"/>
      <c r="L2018" s="327"/>
      <c r="M2018" s="327"/>
      <c r="N2018" s="327"/>
    </row>
    <row r="2019" spans="1:14" x14ac:dyDescent="0.15">
      <c r="A2019" s="327"/>
      <c r="B2019" s="327"/>
      <c r="C2019" s="327"/>
      <c r="D2019" s="327"/>
      <c r="E2019" s="327"/>
      <c r="F2019" s="327"/>
      <c r="G2019" s="320"/>
      <c r="H2019" s="320"/>
      <c r="I2019" s="327"/>
      <c r="J2019" s="327"/>
      <c r="K2019" s="328"/>
      <c r="L2019" s="327"/>
      <c r="M2019" s="327"/>
      <c r="N2019" s="327"/>
    </row>
    <row r="2020" spans="1:14" x14ac:dyDescent="0.15">
      <c r="A2020" s="327"/>
      <c r="B2020" s="327"/>
      <c r="C2020" s="327"/>
      <c r="D2020" s="327"/>
      <c r="E2020" s="327"/>
      <c r="F2020" s="327"/>
      <c r="G2020" s="320"/>
      <c r="H2020" s="320"/>
      <c r="I2020" s="327"/>
      <c r="J2020" s="327"/>
      <c r="K2020" s="328"/>
      <c r="L2020" s="327"/>
      <c r="M2020" s="327"/>
      <c r="N2020" s="327"/>
    </row>
    <row r="2021" spans="1:14" x14ac:dyDescent="0.15">
      <c r="A2021" s="327"/>
      <c r="B2021" s="327"/>
      <c r="C2021" s="327"/>
      <c r="D2021" s="327"/>
      <c r="E2021" s="327"/>
      <c r="F2021" s="327"/>
      <c r="G2021" s="320"/>
      <c r="H2021" s="320"/>
      <c r="I2021" s="327"/>
      <c r="J2021" s="327"/>
      <c r="K2021" s="328"/>
      <c r="L2021" s="327"/>
      <c r="M2021" s="327"/>
      <c r="N2021" s="327"/>
    </row>
    <row r="2022" spans="1:14" x14ac:dyDescent="0.15">
      <c r="A2022" s="327"/>
      <c r="B2022" s="327"/>
      <c r="C2022" s="327"/>
      <c r="D2022" s="327"/>
      <c r="E2022" s="327"/>
      <c r="F2022" s="327"/>
      <c r="G2022" s="320"/>
      <c r="H2022" s="320"/>
      <c r="I2022" s="327"/>
      <c r="J2022" s="327"/>
      <c r="K2022" s="328"/>
      <c r="L2022" s="327"/>
      <c r="M2022" s="327"/>
      <c r="N2022" s="327"/>
    </row>
    <row r="2023" spans="1:14" x14ac:dyDescent="0.15">
      <c r="A2023" s="327"/>
      <c r="B2023" s="327"/>
      <c r="C2023" s="327"/>
      <c r="D2023" s="327"/>
      <c r="E2023" s="327"/>
      <c r="F2023" s="327"/>
      <c r="G2023" s="320"/>
      <c r="H2023" s="320"/>
      <c r="I2023" s="327"/>
      <c r="J2023" s="327"/>
      <c r="K2023" s="328"/>
      <c r="L2023" s="327"/>
      <c r="M2023" s="327"/>
      <c r="N2023" s="327"/>
    </row>
    <row r="2024" spans="1:14" x14ac:dyDescent="0.15">
      <c r="A2024" s="327"/>
      <c r="B2024" s="327"/>
      <c r="C2024" s="327"/>
      <c r="D2024" s="327"/>
      <c r="E2024" s="327"/>
      <c r="F2024" s="327"/>
      <c r="G2024" s="320"/>
      <c r="H2024" s="320"/>
      <c r="I2024" s="327"/>
      <c r="J2024" s="327"/>
      <c r="K2024" s="328"/>
      <c r="L2024" s="327"/>
      <c r="M2024" s="327"/>
      <c r="N2024" s="327"/>
    </row>
    <row r="2025" spans="1:14" x14ac:dyDescent="0.15">
      <c r="A2025" s="327"/>
      <c r="B2025" s="327"/>
      <c r="C2025" s="327"/>
      <c r="D2025" s="327"/>
      <c r="E2025" s="327"/>
      <c r="F2025" s="327"/>
      <c r="G2025" s="320"/>
      <c r="H2025" s="320"/>
      <c r="I2025" s="327"/>
      <c r="J2025" s="327"/>
      <c r="K2025" s="328"/>
      <c r="L2025" s="327"/>
      <c r="M2025" s="327"/>
      <c r="N2025" s="327"/>
    </row>
    <row r="2026" spans="1:14" x14ac:dyDescent="0.15">
      <c r="A2026" s="327"/>
      <c r="B2026" s="327"/>
      <c r="C2026" s="327"/>
      <c r="D2026" s="327"/>
      <c r="E2026" s="327"/>
      <c r="F2026" s="327"/>
      <c r="G2026" s="320"/>
      <c r="H2026" s="320"/>
      <c r="I2026" s="327"/>
      <c r="J2026" s="327"/>
      <c r="K2026" s="328"/>
      <c r="L2026" s="327"/>
      <c r="M2026" s="327"/>
      <c r="N2026" s="327"/>
    </row>
    <row r="2027" spans="1:14" x14ac:dyDescent="0.15">
      <c r="A2027" s="327"/>
      <c r="B2027" s="327"/>
      <c r="C2027" s="327"/>
      <c r="D2027" s="327"/>
      <c r="E2027" s="327"/>
      <c r="F2027" s="327"/>
      <c r="G2027" s="320"/>
      <c r="H2027" s="320"/>
      <c r="I2027" s="327"/>
      <c r="J2027" s="327"/>
      <c r="K2027" s="328"/>
      <c r="L2027" s="327"/>
      <c r="M2027" s="327"/>
      <c r="N2027" s="327"/>
    </row>
    <row r="2028" spans="1:14" x14ac:dyDescent="0.15">
      <c r="A2028" s="327"/>
      <c r="B2028" s="327"/>
      <c r="C2028" s="327"/>
      <c r="D2028" s="327"/>
      <c r="E2028" s="327"/>
      <c r="F2028" s="327"/>
      <c r="G2028" s="320"/>
      <c r="H2028" s="320"/>
      <c r="I2028" s="327"/>
      <c r="J2028" s="327"/>
      <c r="K2028" s="328"/>
      <c r="L2028" s="327"/>
      <c r="M2028" s="327"/>
      <c r="N2028" s="327"/>
    </row>
    <row r="2029" spans="1:14" x14ac:dyDescent="0.15">
      <c r="A2029" s="327"/>
      <c r="B2029" s="327"/>
      <c r="C2029" s="327"/>
      <c r="D2029" s="327"/>
      <c r="E2029" s="327"/>
      <c r="F2029" s="327"/>
      <c r="G2029" s="320"/>
      <c r="H2029" s="320"/>
      <c r="I2029" s="327"/>
      <c r="J2029" s="327"/>
      <c r="K2029" s="328"/>
      <c r="L2029" s="327"/>
      <c r="M2029" s="327"/>
      <c r="N2029" s="327"/>
    </row>
    <row r="2030" spans="1:14" x14ac:dyDescent="0.15">
      <c r="A2030" s="327"/>
      <c r="B2030" s="327"/>
      <c r="C2030" s="327"/>
      <c r="D2030" s="327"/>
      <c r="E2030" s="327"/>
      <c r="F2030" s="327"/>
      <c r="G2030" s="320"/>
      <c r="H2030" s="320"/>
      <c r="I2030" s="327"/>
      <c r="J2030" s="327"/>
      <c r="K2030" s="328"/>
      <c r="L2030" s="327"/>
      <c r="M2030" s="327"/>
      <c r="N2030" s="327"/>
    </row>
    <row r="2031" spans="1:14" x14ac:dyDescent="0.15">
      <c r="A2031" s="327"/>
      <c r="B2031" s="327"/>
      <c r="C2031" s="327"/>
      <c r="D2031" s="327"/>
      <c r="E2031" s="327"/>
      <c r="F2031" s="327"/>
      <c r="G2031" s="320"/>
      <c r="H2031" s="320"/>
      <c r="I2031" s="327"/>
      <c r="J2031" s="327"/>
      <c r="K2031" s="328"/>
      <c r="L2031" s="327"/>
      <c r="M2031" s="327"/>
      <c r="N2031" s="327"/>
    </row>
    <row r="2032" spans="1:14" x14ac:dyDescent="0.15">
      <c r="A2032" s="327"/>
      <c r="B2032" s="327"/>
      <c r="C2032" s="327"/>
      <c r="D2032" s="327"/>
      <c r="E2032" s="327"/>
      <c r="F2032" s="327"/>
      <c r="G2032" s="320"/>
      <c r="H2032" s="320"/>
      <c r="I2032" s="327"/>
      <c r="J2032" s="327"/>
      <c r="K2032" s="328"/>
      <c r="L2032" s="327"/>
      <c r="M2032" s="327"/>
      <c r="N2032" s="327"/>
    </row>
    <row r="2033" spans="1:14" x14ac:dyDescent="0.15">
      <c r="A2033" s="327"/>
      <c r="B2033" s="327"/>
      <c r="C2033" s="327"/>
      <c r="D2033" s="327"/>
      <c r="E2033" s="327"/>
      <c r="F2033" s="327"/>
      <c r="G2033" s="320"/>
      <c r="H2033" s="320"/>
      <c r="I2033" s="327"/>
      <c r="J2033" s="327"/>
      <c r="K2033" s="328"/>
      <c r="L2033" s="327"/>
      <c r="M2033" s="327"/>
      <c r="N2033" s="327"/>
    </row>
    <row r="2034" spans="1:14" x14ac:dyDescent="0.15">
      <c r="A2034" s="327"/>
      <c r="B2034" s="327"/>
      <c r="C2034" s="327"/>
      <c r="D2034" s="327"/>
      <c r="E2034" s="327"/>
      <c r="F2034" s="327"/>
      <c r="G2034" s="320"/>
      <c r="H2034" s="320"/>
      <c r="I2034" s="327"/>
      <c r="J2034" s="327"/>
      <c r="K2034" s="328"/>
      <c r="L2034" s="327"/>
      <c r="M2034" s="327"/>
      <c r="N2034" s="327"/>
    </row>
    <row r="2035" spans="1:14" x14ac:dyDescent="0.15">
      <c r="A2035" s="327"/>
      <c r="B2035" s="327"/>
      <c r="C2035" s="327"/>
      <c r="D2035" s="327"/>
      <c r="E2035" s="327"/>
      <c r="F2035" s="327"/>
      <c r="G2035" s="320"/>
      <c r="H2035" s="320"/>
      <c r="I2035" s="327"/>
      <c r="J2035" s="327"/>
      <c r="K2035" s="328"/>
      <c r="L2035" s="327"/>
      <c r="M2035" s="327"/>
      <c r="N2035" s="327"/>
    </row>
    <row r="2036" spans="1:14" x14ac:dyDescent="0.15">
      <c r="A2036" s="327"/>
      <c r="B2036" s="327"/>
      <c r="C2036" s="327"/>
      <c r="D2036" s="327"/>
      <c r="E2036" s="327"/>
      <c r="F2036" s="327"/>
      <c r="G2036" s="320"/>
      <c r="H2036" s="320"/>
      <c r="I2036" s="327"/>
      <c r="J2036" s="327"/>
      <c r="K2036" s="328"/>
      <c r="L2036" s="327"/>
      <c r="M2036" s="327"/>
      <c r="N2036" s="327"/>
    </row>
    <row r="2037" spans="1:14" x14ac:dyDescent="0.15">
      <c r="A2037" s="327"/>
      <c r="B2037" s="327"/>
      <c r="C2037" s="327"/>
      <c r="D2037" s="327"/>
      <c r="E2037" s="327"/>
      <c r="F2037" s="327"/>
      <c r="G2037" s="320"/>
      <c r="H2037" s="320"/>
      <c r="I2037" s="327"/>
      <c r="J2037" s="327"/>
      <c r="K2037" s="328"/>
      <c r="L2037" s="327"/>
      <c r="M2037" s="327"/>
      <c r="N2037" s="327"/>
    </row>
    <row r="2038" spans="1:14" x14ac:dyDescent="0.15">
      <c r="A2038" s="327"/>
      <c r="B2038" s="327"/>
      <c r="C2038" s="327"/>
      <c r="D2038" s="327"/>
      <c r="E2038" s="327"/>
      <c r="F2038" s="327"/>
      <c r="G2038" s="320"/>
      <c r="H2038" s="320"/>
      <c r="I2038" s="327"/>
      <c r="J2038" s="327"/>
      <c r="K2038" s="328"/>
      <c r="L2038" s="327"/>
      <c r="M2038" s="327"/>
      <c r="N2038" s="327"/>
    </row>
    <row r="2039" spans="1:14" x14ac:dyDescent="0.15">
      <c r="A2039" s="327"/>
      <c r="B2039" s="327"/>
      <c r="C2039" s="327"/>
      <c r="D2039" s="327"/>
      <c r="E2039" s="327"/>
      <c r="F2039" s="327"/>
      <c r="G2039" s="320"/>
      <c r="H2039" s="320"/>
      <c r="I2039" s="327"/>
      <c r="J2039" s="327"/>
      <c r="K2039" s="328"/>
      <c r="L2039" s="327"/>
      <c r="M2039" s="327"/>
      <c r="N2039" s="327"/>
    </row>
    <row r="2040" spans="1:14" x14ac:dyDescent="0.15">
      <c r="A2040" s="327"/>
      <c r="B2040" s="327"/>
      <c r="C2040" s="327"/>
      <c r="D2040" s="327"/>
      <c r="E2040" s="327"/>
      <c r="F2040" s="327"/>
      <c r="G2040" s="320"/>
      <c r="H2040" s="320"/>
      <c r="I2040" s="327"/>
      <c r="J2040" s="327"/>
      <c r="K2040" s="328"/>
      <c r="L2040" s="327"/>
      <c r="M2040" s="327"/>
      <c r="N2040" s="327"/>
    </row>
    <row r="2041" spans="1:14" x14ac:dyDescent="0.15">
      <c r="A2041" s="327"/>
      <c r="B2041" s="327"/>
      <c r="C2041" s="327"/>
      <c r="D2041" s="327"/>
      <c r="E2041" s="327"/>
      <c r="F2041" s="327"/>
      <c r="G2041" s="320"/>
      <c r="H2041" s="320"/>
      <c r="I2041" s="327"/>
      <c r="J2041" s="327"/>
      <c r="K2041" s="328"/>
      <c r="L2041" s="327"/>
      <c r="M2041" s="327"/>
      <c r="N2041" s="327"/>
    </row>
    <row r="2042" spans="1:14" x14ac:dyDescent="0.15">
      <c r="A2042" s="327"/>
      <c r="B2042" s="327"/>
      <c r="C2042" s="327"/>
      <c r="D2042" s="327"/>
      <c r="E2042" s="327"/>
      <c r="F2042" s="327"/>
      <c r="G2042" s="320"/>
      <c r="H2042" s="320"/>
      <c r="I2042" s="327"/>
      <c r="J2042" s="327"/>
      <c r="K2042" s="328"/>
      <c r="L2042" s="327"/>
      <c r="M2042" s="327"/>
      <c r="N2042" s="327"/>
    </row>
    <row r="2043" spans="1:14" x14ac:dyDescent="0.15">
      <c r="A2043" s="327"/>
      <c r="B2043" s="327"/>
      <c r="C2043" s="327"/>
      <c r="D2043" s="327"/>
      <c r="E2043" s="327"/>
      <c r="F2043" s="327"/>
      <c r="G2043" s="320"/>
      <c r="H2043" s="320"/>
      <c r="I2043" s="327"/>
      <c r="J2043" s="327"/>
      <c r="K2043" s="328"/>
      <c r="L2043" s="327"/>
      <c r="M2043" s="327"/>
      <c r="N2043" s="327"/>
    </row>
    <row r="2044" spans="1:14" x14ac:dyDescent="0.15">
      <c r="A2044" s="327"/>
      <c r="B2044" s="327"/>
      <c r="C2044" s="327"/>
      <c r="D2044" s="327"/>
      <c r="E2044" s="327"/>
      <c r="F2044" s="327"/>
      <c r="G2044" s="320"/>
      <c r="H2044" s="320"/>
      <c r="I2044" s="327"/>
      <c r="J2044" s="327"/>
      <c r="K2044" s="328"/>
      <c r="L2044" s="327"/>
      <c r="M2044" s="327"/>
      <c r="N2044" s="327"/>
    </row>
    <row r="2045" spans="1:14" x14ac:dyDescent="0.15">
      <c r="A2045" s="327"/>
      <c r="B2045" s="327"/>
      <c r="C2045" s="327"/>
      <c r="D2045" s="327"/>
      <c r="E2045" s="327"/>
      <c r="F2045" s="327"/>
      <c r="G2045" s="320"/>
      <c r="H2045" s="320"/>
      <c r="I2045" s="327"/>
      <c r="J2045" s="327"/>
      <c r="K2045" s="328"/>
      <c r="L2045" s="327"/>
      <c r="M2045" s="327"/>
      <c r="N2045" s="327"/>
    </row>
    <row r="2046" spans="1:14" x14ac:dyDescent="0.15">
      <c r="A2046" s="327"/>
      <c r="B2046" s="327"/>
      <c r="C2046" s="327"/>
      <c r="D2046" s="327"/>
      <c r="E2046" s="327"/>
      <c r="F2046" s="327"/>
      <c r="G2046" s="320"/>
      <c r="H2046" s="320"/>
      <c r="I2046" s="327"/>
      <c r="J2046" s="327"/>
      <c r="K2046" s="328"/>
      <c r="L2046" s="327"/>
      <c r="M2046" s="327"/>
      <c r="N2046" s="327"/>
    </row>
    <row r="2047" spans="1:14" x14ac:dyDescent="0.15">
      <c r="A2047" s="327"/>
      <c r="B2047" s="327"/>
      <c r="C2047" s="327"/>
      <c r="D2047" s="327"/>
      <c r="E2047" s="327"/>
      <c r="F2047" s="327"/>
      <c r="G2047" s="320"/>
      <c r="H2047" s="320"/>
      <c r="I2047" s="327"/>
      <c r="J2047" s="327"/>
      <c r="K2047" s="328"/>
      <c r="L2047" s="327"/>
      <c r="M2047" s="327"/>
      <c r="N2047" s="327"/>
    </row>
    <row r="2048" spans="1:14" x14ac:dyDescent="0.15">
      <c r="A2048" s="327"/>
      <c r="B2048" s="327"/>
      <c r="C2048" s="327"/>
      <c r="D2048" s="327"/>
      <c r="E2048" s="327"/>
      <c r="F2048" s="327"/>
      <c r="G2048" s="320"/>
      <c r="H2048" s="320"/>
      <c r="I2048" s="327"/>
      <c r="J2048" s="327"/>
      <c r="K2048" s="328"/>
      <c r="L2048" s="327"/>
      <c r="M2048" s="327"/>
      <c r="N2048" s="327"/>
    </row>
    <row r="2049" spans="1:14" x14ac:dyDescent="0.15">
      <c r="A2049" s="327"/>
      <c r="B2049" s="327"/>
      <c r="C2049" s="327"/>
      <c r="D2049" s="327"/>
      <c r="E2049" s="327"/>
      <c r="F2049" s="327"/>
      <c r="G2049" s="320"/>
      <c r="H2049" s="320"/>
      <c r="I2049" s="327"/>
      <c r="J2049" s="327"/>
      <c r="K2049" s="328"/>
      <c r="L2049" s="327"/>
      <c r="M2049" s="327"/>
      <c r="N2049" s="327"/>
    </row>
    <row r="2050" spans="1:14" x14ac:dyDescent="0.15">
      <c r="A2050" s="327"/>
      <c r="B2050" s="327"/>
      <c r="C2050" s="327"/>
      <c r="D2050" s="327"/>
      <c r="E2050" s="327"/>
      <c r="F2050" s="327"/>
      <c r="G2050" s="320"/>
      <c r="H2050" s="320"/>
      <c r="I2050" s="327"/>
      <c r="J2050" s="327"/>
      <c r="K2050" s="328"/>
      <c r="L2050" s="327"/>
      <c r="M2050" s="327"/>
      <c r="N2050" s="327"/>
    </row>
    <row r="2051" spans="1:14" x14ac:dyDescent="0.15">
      <c r="A2051" s="327"/>
      <c r="B2051" s="327"/>
      <c r="C2051" s="327"/>
      <c r="D2051" s="327"/>
      <c r="E2051" s="327"/>
      <c r="F2051" s="327"/>
      <c r="G2051" s="320"/>
      <c r="H2051" s="320"/>
      <c r="I2051" s="327"/>
      <c r="J2051" s="327"/>
      <c r="K2051" s="328"/>
      <c r="L2051" s="327"/>
      <c r="M2051" s="327"/>
      <c r="N2051" s="327"/>
    </row>
    <row r="2052" spans="1:14" x14ac:dyDescent="0.15">
      <c r="A2052" s="327"/>
      <c r="B2052" s="327"/>
      <c r="C2052" s="327"/>
      <c r="D2052" s="327"/>
      <c r="E2052" s="327"/>
      <c r="F2052" s="327"/>
      <c r="G2052" s="320"/>
      <c r="H2052" s="320"/>
      <c r="I2052" s="327"/>
      <c r="J2052" s="327"/>
      <c r="K2052" s="328"/>
      <c r="L2052" s="327"/>
      <c r="M2052" s="327"/>
      <c r="N2052" s="327"/>
    </row>
    <row r="2053" spans="1:14" x14ac:dyDescent="0.15">
      <c r="A2053" s="327"/>
      <c r="B2053" s="327"/>
      <c r="C2053" s="327"/>
      <c r="D2053" s="327"/>
      <c r="E2053" s="327"/>
      <c r="F2053" s="327"/>
      <c r="G2053" s="320"/>
      <c r="H2053" s="320"/>
      <c r="I2053" s="327"/>
      <c r="J2053" s="327"/>
      <c r="K2053" s="328"/>
      <c r="L2053" s="327"/>
      <c r="M2053" s="327"/>
      <c r="N2053" s="327"/>
    </row>
    <row r="2054" spans="1:14" x14ac:dyDescent="0.15">
      <c r="A2054" s="327"/>
      <c r="B2054" s="327"/>
      <c r="C2054" s="327"/>
      <c r="D2054" s="327"/>
      <c r="E2054" s="327"/>
      <c r="F2054" s="327"/>
      <c r="G2054" s="320"/>
      <c r="H2054" s="320"/>
      <c r="I2054" s="327"/>
      <c r="J2054" s="327"/>
      <c r="K2054" s="328"/>
      <c r="L2054" s="327"/>
      <c r="M2054" s="327"/>
      <c r="N2054" s="327"/>
    </row>
    <row r="2055" spans="1:14" x14ac:dyDescent="0.15">
      <c r="A2055" s="327"/>
      <c r="B2055" s="327"/>
      <c r="C2055" s="327"/>
      <c r="D2055" s="327"/>
      <c r="E2055" s="327"/>
      <c r="F2055" s="327"/>
      <c r="G2055" s="320"/>
      <c r="H2055" s="320"/>
      <c r="I2055" s="327"/>
      <c r="J2055" s="327"/>
      <c r="K2055" s="328"/>
      <c r="L2055" s="327"/>
      <c r="M2055" s="327"/>
      <c r="N2055" s="327"/>
    </row>
    <row r="2056" spans="1:14" x14ac:dyDescent="0.15">
      <c r="A2056" s="327"/>
      <c r="B2056" s="327"/>
      <c r="C2056" s="327"/>
      <c r="D2056" s="327"/>
      <c r="E2056" s="327"/>
      <c r="F2056" s="327"/>
      <c r="G2056" s="320"/>
      <c r="H2056" s="320"/>
      <c r="I2056" s="327"/>
      <c r="J2056" s="327"/>
      <c r="K2056" s="328"/>
      <c r="L2056" s="327"/>
      <c r="M2056" s="327"/>
      <c r="N2056" s="327"/>
    </row>
    <row r="2057" spans="1:14" x14ac:dyDescent="0.15">
      <c r="A2057" s="327"/>
      <c r="B2057" s="327"/>
      <c r="C2057" s="327"/>
      <c r="D2057" s="327"/>
      <c r="E2057" s="327"/>
      <c r="F2057" s="327"/>
      <c r="G2057" s="320"/>
      <c r="H2057" s="320"/>
      <c r="I2057" s="327"/>
      <c r="J2057" s="327"/>
      <c r="K2057" s="328"/>
      <c r="L2057" s="327"/>
      <c r="M2057" s="327"/>
      <c r="N2057" s="327"/>
    </row>
    <row r="2058" spans="1:14" x14ac:dyDescent="0.15">
      <c r="A2058" s="327"/>
      <c r="B2058" s="327"/>
      <c r="C2058" s="327"/>
      <c r="D2058" s="327"/>
      <c r="E2058" s="327"/>
      <c r="F2058" s="327"/>
      <c r="G2058" s="320"/>
      <c r="H2058" s="320"/>
      <c r="I2058" s="327"/>
      <c r="J2058" s="327"/>
      <c r="K2058" s="328"/>
      <c r="L2058" s="327"/>
      <c r="M2058" s="327"/>
      <c r="N2058" s="327"/>
    </row>
    <row r="2059" spans="1:14" x14ac:dyDescent="0.15">
      <c r="A2059" s="327"/>
      <c r="B2059" s="327"/>
      <c r="C2059" s="327"/>
      <c r="D2059" s="327"/>
      <c r="E2059" s="327"/>
      <c r="F2059" s="327"/>
      <c r="G2059" s="320"/>
      <c r="H2059" s="320"/>
      <c r="I2059" s="327"/>
      <c r="J2059" s="327"/>
      <c r="K2059" s="328"/>
      <c r="L2059" s="327"/>
      <c r="M2059" s="327"/>
      <c r="N2059" s="327"/>
    </row>
    <row r="2060" spans="1:14" x14ac:dyDescent="0.15">
      <c r="A2060" s="327"/>
      <c r="B2060" s="327"/>
      <c r="C2060" s="327"/>
      <c r="D2060" s="327"/>
      <c r="E2060" s="327"/>
      <c r="F2060" s="327"/>
      <c r="G2060" s="320"/>
      <c r="H2060" s="320"/>
      <c r="I2060" s="327"/>
      <c r="J2060" s="327"/>
      <c r="K2060" s="328"/>
      <c r="L2060" s="327"/>
      <c r="M2060" s="327"/>
      <c r="N2060" s="327"/>
    </row>
    <row r="2061" spans="1:14" x14ac:dyDescent="0.15">
      <c r="A2061" s="327"/>
      <c r="B2061" s="327"/>
      <c r="C2061" s="327"/>
      <c r="D2061" s="327"/>
      <c r="E2061" s="327"/>
      <c r="F2061" s="327"/>
      <c r="G2061" s="320"/>
      <c r="H2061" s="320"/>
      <c r="I2061" s="327"/>
      <c r="J2061" s="327"/>
      <c r="K2061" s="328"/>
      <c r="L2061" s="327"/>
      <c r="M2061" s="327"/>
      <c r="N2061" s="327"/>
    </row>
    <row r="2062" spans="1:14" x14ac:dyDescent="0.15">
      <c r="A2062" s="327"/>
      <c r="B2062" s="327"/>
      <c r="C2062" s="327"/>
      <c r="D2062" s="327"/>
      <c r="E2062" s="327"/>
      <c r="F2062" s="327"/>
      <c r="G2062" s="320"/>
      <c r="H2062" s="320"/>
      <c r="I2062" s="327"/>
      <c r="J2062" s="327"/>
      <c r="K2062" s="328"/>
      <c r="L2062" s="327"/>
      <c r="M2062" s="327"/>
      <c r="N2062" s="327"/>
    </row>
    <row r="2063" spans="1:14" x14ac:dyDescent="0.15">
      <c r="A2063" s="327"/>
      <c r="B2063" s="327"/>
      <c r="C2063" s="327"/>
      <c r="D2063" s="327"/>
      <c r="E2063" s="327"/>
      <c r="F2063" s="327"/>
      <c r="G2063" s="320"/>
      <c r="H2063" s="320"/>
      <c r="I2063" s="327"/>
      <c r="J2063" s="327"/>
      <c r="K2063" s="328"/>
      <c r="L2063" s="327"/>
      <c r="M2063" s="327"/>
      <c r="N2063" s="327"/>
    </row>
    <row r="2064" spans="1:14" x14ac:dyDescent="0.15">
      <c r="A2064" s="327"/>
      <c r="B2064" s="327"/>
      <c r="C2064" s="327"/>
      <c r="D2064" s="327"/>
      <c r="E2064" s="327"/>
      <c r="F2064" s="327"/>
      <c r="G2064" s="320"/>
      <c r="H2064" s="320"/>
      <c r="I2064" s="327"/>
      <c r="J2064" s="327"/>
      <c r="K2064" s="328"/>
      <c r="L2064" s="327"/>
      <c r="M2064" s="327"/>
      <c r="N2064" s="327"/>
    </row>
    <row r="2065" spans="1:14" x14ac:dyDescent="0.15">
      <c r="A2065" s="327"/>
      <c r="B2065" s="327"/>
      <c r="C2065" s="327"/>
      <c r="D2065" s="327"/>
      <c r="E2065" s="327"/>
      <c r="F2065" s="327"/>
      <c r="G2065" s="320"/>
      <c r="H2065" s="320"/>
      <c r="I2065" s="327"/>
      <c r="J2065" s="327"/>
      <c r="K2065" s="328"/>
      <c r="L2065" s="327"/>
      <c r="M2065" s="327"/>
      <c r="N2065" s="327"/>
    </row>
    <row r="2066" spans="1:14" x14ac:dyDescent="0.15">
      <c r="A2066" s="327"/>
      <c r="B2066" s="327"/>
      <c r="C2066" s="327"/>
      <c r="D2066" s="327"/>
      <c r="E2066" s="327"/>
      <c r="F2066" s="327"/>
      <c r="G2066" s="320"/>
      <c r="H2066" s="320"/>
      <c r="I2066" s="327"/>
      <c r="J2066" s="327"/>
      <c r="K2066" s="328"/>
      <c r="L2066" s="327"/>
      <c r="M2066" s="327"/>
      <c r="N2066" s="327"/>
    </row>
    <row r="2067" spans="1:14" x14ac:dyDescent="0.15">
      <c r="A2067" s="327"/>
      <c r="B2067" s="327"/>
      <c r="C2067" s="327"/>
      <c r="D2067" s="327"/>
      <c r="E2067" s="327"/>
      <c r="F2067" s="327"/>
      <c r="G2067" s="320"/>
      <c r="H2067" s="320"/>
      <c r="I2067" s="327"/>
      <c r="J2067" s="327"/>
      <c r="K2067" s="328"/>
      <c r="L2067" s="327"/>
      <c r="M2067" s="327"/>
      <c r="N2067" s="327"/>
    </row>
    <row r="2068" spans="1:14" x14ac:dyDescent="0.15">
      <c r="A2068" s="327"/>
      <c r="B2068" s="327"/>
      <c r="C2068" s="327"/>
      <c r="D2068" s="327"/>
      <c r="E2068" s="327"/>
      <c r="F2068" s="327"/>
      <c r="G2068" s="320"/>
      <c r="H2068" s="320"/>
      <c r="I2068" s="327"/>
      <c r="J2068" s="327"/>
      <c r="K2068" s="328"/>
      <c r="L2068" s="327"/>
      <c r="M2068" s="327"/>
      <c r="N2068" s="327"/>
    </row>
    <row r="2069" spans="1:14" x14ac:dyDescent="0.15">
      <c r="A2069" s="327"/>
      <c r="B2069" s="327"/>
      <c r="C2069" s="327"/>
      <c r="D2069" s="327"/>
      <c r="E2069" s="327"/>
      <c r="F2069" s="327"/>
      <c r="G2069" s="320"/>
      <c r="H2069" s="320"/>
      <c r="I2069" s="327"/>
      <c r="J2069" s="327"/>
      <c r="K2069" s="328"/>
      <c r="L2069" s="327"/>
      <c r="M2069" s="327"/>
      <c r="N2069" s="327"/>
    </row>
    <row r="2070" spans="1:14" x14ac:dyDescent="0.15">
      <c r="A2070" s="327"/>
      <c r="B2070" s="327"/>
      <c r="C2070" s="327"/>
      <c r="D2070" s="327"/>
      <c r="E2070" s="327"/>
      <c r="F2070" s="327"/>
      <c r="G2070" s="320"/>
      <c r="H2070" s="320"/>
      <c r="I2070" s="327"/>
      <c r="J2070" s="327"/>
      <c r="K2070" s="328"/>
      <c r="L2070" s="327"/>
      <c r="M2070" s="327"/>
      <c r="N2070" s="327"/>
    </row>
    <row r="2071" spans="1:14" x14ac:dyDescent="0.15">
      <c r="A2071" s="327"/>
      <c r="B2071" s="327"/>
      <c r="C2071" s="327"/>
      <c r="D2071" s="327"/>
      <c r="E2071" s="327"/>
      <c r="F2071" s="327"/>
      <c r="G2071" s="320"/>
      <c r="H2071" s="320"/>
      <c r="I2071" s="327"/>
      <c r="J2071" s="327"/>
      <c r="K2071" s="328"/>
      <c r="L2071" s="327"/>
      <c r="M2071" s="327"/>
      <c r="N2071" s="327"/>
    </row>
    <row r="2072" spans="1:14" x14ac:dyDescent="0.15">
      <c r="A2072" s="327"/>
      <c r="B2072" s="327"/>
      <c r="C2072" s="327"/>
      <c r="D2072" s="327"/>
      <c r="E2072" s="327"/>
      <c r="F2072" s="327"/>
      <c r="G2072" s="320"/>
      <c r="H2072" s="320"/>
      <c r="I2072" s="327"/>
      <c r="J2072" s="327"/>
      <c r="K2072" s="328"/>
      <c r="L2072" s="327"/>
      <c r="M2072" s="327"/>
      <c r="N2072" s="327"/>
    </row>
    <row r="2073" spans="1:14" x14ac:dyDescent="0.15">
      <c r="A2073" s="327"/>
      <c r="B2073" s="327"/>
      <c r="C2073" s="327"/>
      <c r="D2073" s="327"/>
      <c r="E2073" s="327"/>
      <c r="F2073" s="327"/>
      <c r="G2073" s="320"/>
      <c r="H2073" s="320"/>
      <c r="I2073" s="327"/>
      <c r="J2073" s="327"/>
      <c r="K2073" s="328"/>
      <c r="L2073" s="327"/>
      <c r="M2073" s="327"/>
      <c r="N2073" s="327"/>
    </row>
    <row r="2074" spans="1:14" x14ac:dyDescent="0.15">
      <c r="A2074" s="327"/>
      <c r="B2074" s="327"/>
      <c r="C2074" s="327"/>
      <c r="D2074" s="327"/>
      <c r="E2074" s="327"/>
      <c r="F2074" s="327"/>
      <c r="G2074" s="320"/>
      <c r="H2074" s="320"/>
      <c r="I2074" s="327"/>
      <c r="J2074" s="327"/>
      <c r="K2074" s="328"/>
      <c r="L2074" s="327"/>
      <c r="M2074" s="327"/>
      <c r="N2074" s="327"/>
    </row>
    <row r="2075" spans="1:14" x14ac:dyDescent="0.15">
      <c r="A2075" s="327"/>
      <c r="B2075" s="327"/>
      <c r="C2075" s="327"/>
      <c r="D2075" s="327"/>
      <c r="E2075" s="327"/>
      <c r="F2075" s="327"/>
      <c r="G2075" s="320"/>
      <c r="H2075" s="320"/>
      <c r="I2075" s="327"/>
      <c r="J2075" s="327"/>
      <c r="K2075" s="328"/>
      <c r="L2075" s="327"/>
      <c r="M2075" s="327"/>
      <c r="N2075" s="327"/>
    </row>
    <row r="2076" spans="1:14" x14ac:dyDescent="0.15">
      <c r="A2076" s="327"/>
      <c r="B2076" s="327"/>
      <c r="C2076" s="327"/>
      <c r="D2076" s="327"/>
      <c r="E2076" s="327"/>
      <c r="F2076" s="327"/>
      <c r="G2076" s="320"/>
      <c r="H2076" s="320"/>
      <c r="I2076" s="327"/>
      <c r="J2076" s="327"/>
      <c r="K2076" s="328"/>
      <c r="L2076" s="327"/>
      <c r="M2076" s="327"/>
      <c r="N2076" s="327"/>
    </row>
    <row r="2077" spans="1:14" x14ac:dyDescent="0.15">
      <c r="A2077" s="327"/>
      <c r="B2077" s="327"/>
      <c r="C2077" s="327"/>
      <c r="D2077" s="327"/>
      <c r="E2077" s="327"/>
      <c r="F2077" s="327"/>
      <c r="G2077" s="320"/>
      <c r="H2077" s="320"/>
      <c r="I2077" s="327"/>
      <c r="J2077" s="327"/>
      <c r="K2077" s="328"/>
      <c r="L2077" s="327"/>
      <c r="M2077" s="327"/>
      <c r="N2077" s="327"/>
    </row>
    <row r="2078" spans="1:14" x14ac:dyDescent="0.15">
      <c r="A2078" s="327"/>
      <c r="B2078" s="327"/>
      <c r="C2078" s="327"/>
      <c r="D2078" s="327"/>
      <c r="E2078" s="327"/>
      <c r="F2078" s="327"/>
      <c r="G2078" s="320"/>
      <c r="H2078" s="320"/>
      <c r="I2078" s="327"/>
      <c r="J2078" s="327"/>
      <c r="K2078" s="328"/>
      <c r="L2078" s="327"/>
      <c r="M2078" s="327"/>
      <c r="N2078" s="327"/>
    </row>
    <row r="2079" spans="1:14" x14ac:dyDescent="0.15">
      <c r="A2079" s="327"/>
      <c r="B2079" s="327"/>
      <c r="C2079" s="327"/>
      <c r="D2079" s="327"/>
      <c r="E2079" s="327"/>
      <c r="F2079" s="327"/>
      <c r="G2079" s="320"/>
      <c r="H2079" s="320"/>
      <c r="I2079" s="327"/>
      <c r="J2079" s="327"/>
      <c r="K2079" s="328"/>
      <c r="L2079" s="327"/>
      <c r="M2079" s="327"/>
      <c r="N2079" s="327"/>
    </row>
    <row r="2080" spans="1:14" x14ac:dyDescent="0.15">
      <c r="A2080" s="327"/>
      <c r="B2080" s="327"/>
      <c r="C2080" s="327"/>
      <c r="D2080" s="327"/>
      <c r="E2080" s="327"/>
      <c r="F2080" s="327"/>
      <c r="G2080" s="320"/>
      <c r="H2080" s="320"/>
      <c r="I2080" s="327"/>
      <c r="J2080" s="327"/>
      <c r="K2080" s="328"/>
      <c r="L2080" s="327"/>
      <c r="M2080" s="327"/>
      <c r="N2080" s="327"/>
    </row>
    <row r="2081" spans="1:14" x14ac:dyDescent="0.15">
      <c r="A2081" s="327"/>
      <c r="B2081" s="327"/>
      <c r="C2081" s="327"/>
      <c r="D2081" s="327"/>
      <c r="E2081" s="327"/>
      <c r="F2081" s="327"/>
      <c r="G2081" s="320"/>
      <c r="H2081" s="320"/>
      <c r="I2081" s="327"/>
      <c r="J2081" s="327"/>
      <c r="K2081" s="328"/>
      <c r="L2081" s="327"/>
      <c r="M2081" s="327"/>
      <c r="N2081" s="327"/>
    </row>
    <row r="2082" spans="1:14" x14ac:dyDescent="0.15">
      <c r="A2082" s="327"/>
      <c r="B2082" s="327"/>
      <c r="C2082" s="327"/>
      <c r="D2082" s="327"/>
      <c r="E2082" s="327"/>
      <c r="F2082" s="327"/>
      <c r="G2082" s="320"/>
      <c r="H2082" s="320"/>
      <c r="I2082" s="327"/>
      <c r="J2082" s="327"/>
      <c r="K2082" s="328"/>
      <c r="L2082" s="327"/>
      <c r="M2082" s="327"/>
      <c r="N2082" s="327"/>
    </row>
    <row r="2083" spans="1:14" x14ac:dyDescent="0.15">
      <c r="A2083" s="327"/>
      <c r="B2083" s="327"/>
      <c r="C2083" s="327"/>
      <c r="D2083" s="327"/>
      <c r="E2083" s="327"/>
      <c r="F2083" s="327"/>
      <c r="G2083" s="320"/>
      <c r="H2083" s="320"/>
      <c r="I2083" s="327"/>
      <c r="J2083" s="327"/>
      <c r="K2083" s="328"/>
      <c r="L2083" s="327"/>
      <c r="M2083" s="327"/>
      <c r="N2083" s="327"/>
    </row>
    <row r="2084" spans="1:14" x14ac:dyDescent="0.15">
      <c r="A2084" s="327"/>
      <c r="B2084" s="327"/>
      <c r="C2084" s="327"/>
      <c r="D2084" s="327"/>
      <c r="E2084" s="327"/>
      <c r="F2084" s="327"/>
      <c r="G2084" s="320"/>
      <c r="H2084" s="320"/>
      <c r="I2084" s="327"/>
      <c r="J2084" s="327"/>
      <c r="K2084" s="328"/>
      <c r="L2084" s="327"/>
      <c r="M2084" s="327"/>
      <c r="N2084" s="327"/>
    </row>
    <row r="2085" spans="1:14" x14ac:dyDescent="0.15">
      <c r="A2085" s="327"/>
      <c r="B2085" s="327"/>
      <c r="C2085" s="327"/>
      <c r="D2085" s="327"/>
      <c r="E2085" s="327"/>
      <c r="F2085" s="327"/>
      <c r="G2085" s="320"/>
      <c r="H2085" s="320"/>
      <c r="I2085" s="327"/>
      <c r="J2085" s="327"/>
      <c r="K2085" s="328"/>
      <c r="L2085" s="327"/>
      <c r="M2085" s="327"/>
      <c r="N2085" s="327"/>
    </row>
    <row r="2086" spans="1:14" x14ac:dyDescent="0.15">
      <c r="A2086" s="327"/>
      <c r="B2086" s="327"/>
      <c r="C2086" s="327"/>
      <c r="D2086" s="327"/>
      <c r="E2086" s="327"/>
      <c r="F2086" s="327"/>
      <c r="G2086" s="320"/>
      <c r="H2086" s="320"/>
      <c r="I2086" s="327"/>
      <c r="J2086" s="327"/>
      <c r="K2086" s="328"/>
      <c r="L2086" s="327"/>
      <c r="M2086" s="327"/>
      <c r="N2086" s="327"/>
    </row>
    <row r="2087" spans="1:14" x14ac:dyDescent="0.15">
      <c r="A2087" s="327"/>
      <c r="B2087" s="327"/>
      <c r="C2087" s="327"/>
      <c r="D2087" s="327"/>
      <c r="E2087" s="327"/>
      <c r="F2087" s="327"/>
      <c r="G2087" s="320"/>
      <c r="H2087" s="320"/>
      <c r="I2087" s="327"/>
      <c r="J2087" s="327"/>
      <c r="K2087" s="328"/>
      <c r="L2087" s="327"/>
      <c r="M2087" s="327"/>
      <c r="N2087" s="327"/>
    </row>
    <row r="2088" spans="1:14" x14ac:dyDescent="0.15">
      <c r="A2088" s="327"/>
      <c r="B2088" s="327"/>
      <c r="C2088" s="327"/>
      <c r="D2088" s="327"/>
      <c r="E2088" s="327"/>
      <c r="F2088" s="327"/>
      <c r="G2088" s="320"/>
      <c r="H2088" s="320"/>
      <c r="I2088" s="327"/>
      <c r="J2088" s="327"/>
      <c r="K2088" s="328"/>
      <c r="L2088" s="327"/>
      <c r="M2088" s="327"/>
      <c r="N2088" s="327"/>
    </row>
    <row r="2089" spans="1:14" x14ac:dyDescent="0.15">
      <c r="A2089" s="327"/>
      <c r="B2089" s="327"/>
      <c r="C2089" s="327"/>
      <c r="D2089" s="327"/>
      <c r="E2089" s="327"/>
      <c r="F2089" s="327"/>
      <c r="G2089" s="320"/>
      <c r="H2089" s="320"/>
      <c r="I2089" s="327"/>
      <c r="J2089" s="327"/>
      <c r="K2089" s="328"/>
      <c r="L2089" s="327"/>
      <c r="M2089" s="327"/>
      <c r="N2089" s="327"/>
    </row>
    <row r="2090" spans="1:14" x14ac:dyDescent="0.15">
      <c r="A2090" s="327"/>
      <c r="B2090" s="327"/>
      <c r="C2090" s="327"/>
      <c r="D2090" s="327"/>
      <c r="E2090" s="327"/>
      <c r="F2090" s="327"/>
      <c r="G2090" s="320"/>
      <c r="H2090" s="320"/>
      <c r="I2090" s="327"/>
      <c r="J2090" s="327"/>
      <c r="K2090" s="328"/>
      <c r="L2090" s="327"/>
      <c r="M2090" s="327"/>
      <c r="N2090" s="327"/>
    </row>
    <row r="2091" spans="1:14" x14ac:dyDescent="0.15">
      <c r="A2091" s="327"/>
      <c r="B2091" s="327"/>
      <c r="C2091" s="327"/>
      <c r="D2091" s="327"/>
      <c r="E2091" s="327"/>
      <c r="F2091" s="327"/>
      <c r="G2091" s="320"/>
      <c r="H2091" s="320"/>
      <c r="I2091" s="327"/>
      <c r="J2091" s="327"/>
      <c r="K2091" s="328"/>
      <c r="L2091" s="327"/>
      <c r="M2091" s="327"/>
      <c r="N2091" s="327"/>
    </row>
    <row r="2092" spans="1:14" x14ac:dyDescent="0.15">
      <c r="A2092" s="327"/>
      <c r="B2092" s="327"/>
      <c r="C2092" s="327"/>
      <c r="D2092" s="327"/>
      <c r="E2092" s="327"/>
      <c r="F2092" s="327"/>
      <c r="G2092" s="320"/>
      <c r="H2092" s="320"/>
      <c r="I2092" s="327"/>
      <c r="J2092" s="327"/>
      <c r="K2092" s="328"/>
      <c r="L2092" s="327"/>
      <c r="M2092" s="327"/>
      <c r="N2092" s="327"/>
    </row>
    <row r="2093" spans="1:14" x14ac:dyDescent="0.15">
      <c r="A2093" s="327"/>
      <c r="B2093" s="327"/>
      <c r="C2093" s="327"/>
      <c r="D2093" s="327"/>
      <c r="E2093" s="327"/>
      <c r="F2093" s="327"/>
      <c r="G2093" s="320"/>
      <c r="H2093" s="320"/>
      <c r="I2093" s="327"/>
      <c r="J2093" s="327"/>
      <c r="K2093" s="328"/>
      <c r="L2093" s="327"/>
      <c r="M2093" s="327"/>
      <c r="N2093" s="327"/>
    </row>
    <row r="2094" spans="1:14" x14ac:dyDescent="0.15">
      <c r="A2094" s="327"/>
      <c r="B2094" s="327"/>
      <c r="C2094" s="327"/>
      <c r="D2094" s="327"/>
      <c r="E2094" s="327"/>
      <c r="F2094" s="327"/>
      <c r="G2094" s="320"/>
      <c r="H2094" s="320"/>
      <c r="I2094" s="327"/>
      <c r="J2094" s="327"/>
      <c r="K2094" s="328"/>
      <c r="L2094" s="327"/>
      <c r="M2094" s="327"/>
      <c r="N2094" s="327"/>
    </row>
    <row r="2095" spans="1:14" x14ac:dyDescent="0.15">
      <c r="A2095" s="327"/>
      <c r="B2095" s="327"/>
      <c r="C2095" s="327"/>
      <c r="D2095" s="327"/>
      <c r="E2095" s="327"/>
      <c r="F2095" s="327"/>
      <c r="G2095" s="320"/>
      <c r="H2095" s="320"/>
      <c r="I2095" s="327"/>
      <c r="J2095" s="327"/>
      <c r="K2095" s="328"/>
      <c r="L2095" s="327"/>
      <c r="M2095" s="327"/>
      <c r="N2095" s="327"/>
    </row>
    <row r="2096" spans="1:14" x14ac:dyDescent="0.15">
      <c r="A2096" s="327"/>
      <c r="B2096" s="327"/>
      <c r="C2096" s="327"/>
      <c r="D2096" s="327"/>
      <c r="E2096" s="327"/>
      <c r="F2096" s="327"/>
      <c r="G2096" s="320"/>
      <c r="H2096" s="320"/>
      <c r="I2096" s="327"/>
      <c r="J2096" s="327"/>
      <c r="K2096" s="328"/>
      <c r="L2096" s="327"/>
      <c r="M2096" s="327"/>
      <c r="N2096" s="327"/>
    </row>
    <row r="2097" spans="1:14" x14ac:dyDescent="0.15">
      <c r="A2097" s="327"/>
      <c r="B2097" s="327"/>
      <c r="C2097" s="327"/>
      <c r="D2097" s="327"/>
      <c r="E2097" s="327"/>
      <c r="F2097" s="327"/>
      <c r="G2097" s="320"/>
      <c r="H2097" s="320"/>
      <c r="I2097" s="327"/>
      <c r="J2097" s="327"/>
      <c r="K2097" s="328"/>
      <c r="L2097" s="327"/>
      <c r="M2097" s="327"/>
      <c r="N2097" s="327"/>
    </row>
    <row r="2098" spans="1:14" x14ac:dyDescent="0.15">
      <c r="A2098" s="327"/>
      <c r="B2098" s="327"/>
      <c r="C2098" s="327"/>
      <c r="D2098" s="327"/>
      <c r="E2098" s="327"/>
      <c r="F2098" s="327"/>
      <c r="G2098" s="320"/>
      <c r="H2098" s="320"/>
      <c r="I2098" s="327"/>
      <c r="J2098" s="327"/>
      <c r="K2098" s="328"/>
      <c r="L2098" s="327"/>
      <c r="M2098" s="327"/>
      <c r="N2098" s="327"/>
    </row>
    <row r="2099" spans="1:14" x14ac:dyDescent="0.15">
      <c r="A2099" s="327"/>
      <c r="B2099" s="327"/>
      <c r="C2099" s="327"/>
      <c r="D2099" s="327"/>
      <c r="E2099" s="327"/>
      <c r="F2099" s="327"/>
      <c r="G2099" s="320"/>
      <c r="H2099" s="320"/>
      <c r="I2099" s="327"/>
      <c r="J2099" s="327"/>
      <c r="K2099" s="328"/>
      <c r="L2099" s="327"/>
      <c r="M2099" s="327"/>
      <c r="N2099" s="327"/>
    </row>
    <row r="2100" spans="1:14" x14ac:dyDescent="0.15">
      <c r="A2100" s="327"/>
      <c r="B2100" s="327"/>
      <c r="C2100" s="327"/>
      <c r="D2100" s="327"/>
      <c r="E2100" s="327"/>
      <c r="F2100" s="327"/>
      <c r="G2100" s="320"/>
      <c r="H2100" s="320"/>
      <c r="I2100" s="327"/>
      <c r="J2100" s="327"/>
      <c r="K2100" s="328"/>
      <c r="L2100" s="327"/>
      <c r="M2100" s="327"/>
      <c r="N2100" s="327"/>
    </row>
    <row r="2101" spans="1:14" x14ac:dyDescent="0.15">
      <c r="A2101" s="327"/>
      <c r="B2101" s="327"/>
      <c r="C2101" s="327"/>
      <c r="D2101" s="327"/>
      <c r="E2101" s="327"/>
      <c r="F2101" s="327"/>
      <c r="G2101" s="320"/>
      <c r="H2101" s="320"/>
      <c r="I2101" s="327"/>
      <c r="J2101" s="327"/>
      <c r="K2101" s="328"/>
      <c r="L2101" s="327"/>
      <c r="M2101" s="327"/>
      <c r="N2101" s="327"/>
    </row>
    <row r="2102" spans="1:14" x14ac:dyDescent="0.15">
      <c r="A2102" s="327"/>
      <c r="B2102" s="327"/>
      <c r="C2102" s="327"/>
      <c r="D2102" s="327"/>
      <c r="E2102" s="327"/>
      <c r="F2102" s="327"/>
      <c r="G2102" s="320"/>
      <c r="H2102" s="320"/>
      <c r="I2102" s="327"/>
      <c r="J2102" s="327"/>
      <c r="K2102" s="328"/>
      <c r="L2102" s="327"/>
      <c r="M2102" s="327"/>
      <c r="N2102" s="327"/>
    </row>
    <row r="2103" spans="1:14" x14ac:dyDescent="0.15">
      <c r="A2103" s="327"/>
      <c r="B2103" s="327"/>
      <c r="C2103" s="327"/>
      <c r="D2103" s="327"/>
      <c r="E2103" s="327"/>
      <c r="F2103" s="327"/>
      <c r="G2103" s="320"/>
      <c r="H2103" s="320"/>
      <c r="I2103" s="327"/>
      <c r="J2103" s="327"/>
      <c r="K2103" s="328"/>
      <c r="L2103" s="327"/>
      <c r="M2103" s="327"/>
      <c r="N2103" s="327"/>
    </row>
    <row r="2104" spans="1:14" x14ac:dyDescent="0.15">
      <c r="A2104" s="327"/>
      <c r="B2104" s="327"/>
      <c r="C2104" s="327"/>
      <c r="D2104" s="327"/>
      <c r="E2104" s="327"/>
      <c r="F2104" s="327"/>
      <c r="G2104" s="320"/>
      <c r="H2104" s="320"/>
      <c r="I2104" s="327"/>
      <c r="J2104" s="327"/>
      <c r="K2104" s="328"/>
      <c r="L2104" s="327"/>
      <c r="M2104" s="327"/>
      <c r="N2104" s="327"/>
    </row>
    <row r="2105" spans="1:14" x14ac:dyDescent="0.15">
      <c r="A2105" s="327"/>
      <c r="B2105" s="327"/>
      <c r="C2105" s="327"/>
      <c r="D2105" s="327"/>
      <c r="E2105" s="327"/>
      <c r="F2105" s="327"/>
      <c r="G2105" s="320"/>
      <c r="H2105" s="320"/>
      <c r="I2105" s="327"/>
      <c r="J2105" s="327"/>
      <c r="K2105" s="328"/>
      <c r="L2105" s="327"/>
      <c r="M2105" s="327"/>
      <c r="N2105" s="327"/>
    </row>
    <row r="2106" spans="1:14" x14ac:dyDescent="0.15">
      <c r="A2106" s="327"/>
      <c r="B2106" s="327"/>
      <c r="C2106" s="327"/>
      <c r="D2106" s="327"/>
      <c r="E2106" s="327"/>
      <c r="F2106" s="327"/>
      <c r="G2106" s="320"/>
      <c r="H2106" s="320"/>
      <c r="I2106" s="327"/>
      <c r="J2106" s="327"/>
      <c r="K2106" s="328"/>
      <c r="L2106" s="327"/>
      <c r="M2106" s="327"/>
      <c r="N2106" s="327"/>
    </row>
    <row r="2107" spans="1:14" x14ac:dyDescent="0.15">
      <c r="A2107" s="327"/>
      <c r="B2107" s="327"/>
      <c r="C2107" s="327"/>
      <c r="D2107" s="327"/>
      <c r="E2107" s="327"/>
      <c r="F2107" s="327"/>
      <c r="G2107" s="320"/>
      <c r="H2107" s="320"/>
      <c r="I2107" s="327"/>
      <c r="J2107" s="327"/>
      <c r="K2107" s="328"/>
      <c r="L2107" s="327"/>
      <c r="M2107" s="327"/>
      <c r="N2107" s="327"/>
    </row>
    <row r="2108" spans="1:14" x14ac:dyDescent="0.15">
      <c r="A2108" s="327"/>
      <c r="B2108" s="327"/>
      <c r="C2108" s="327"/>
      <c r="D2108" s="327"/>
      <c r="E2108" s="327"/>
      <c r="F2108" s="327"/>
      <c r="G2108" s="320"/>
      <c r="H2108" s="320"/>
      <c r="I2108" s="327"/>
      <c r="J2108" s="327"/>
      <c r="K2108" s="328"/>
      <c r="L2108" s="327"/>
      <c r="M2108" s="327"/>
      <c r="N2108" s="327"/>
    </row>
    <row r="2109" spans="1:14" x14ac:dyDescent="0.15">
      <c r="A2109" s="327"/>
      <c r="B2109" s="327"/>
      <c r="C2109" s="327"/>
      <c r="D2109" s="327"/>
      <c r="E2109" s="327"/>
      <c r="F2109" s="327"/>
      <c r="G2109" s="320"/>
      <c r="H2109" s="320"/>
      <c r="I2109" s="327"/>
      <c r="J2109" s="327"/>
      <c r="K2109" s="328"/>
      <c r="L2109" s="327"/>
      <c r="M2109" s="327"/>
      <c r="N2109" s="327"/>
    </row>
    <row r="2110" spans="1:14" x14ac:dyDescent="0.15">
      <c r="A2110" s="327"/>
      <c r="B2110" s="327"/>
      <c r="C2110" s="327"/>
      <c r="D2110" s="327"/>
      <c r="E2110" s="327"/>
      <c r="F2110" s="327"/>
      <c r="G2110" s="320"/>
      <c r="H2110" s="320"/>
      <c r="I2110" s="327"/>
      <c r="J2110" s="327"/>
      <c r="K2110" s="328"/>
      <c r="L2110" s="327"/>
      <c r="M2110" s="327"/>
      <c r="N2110" s="327"/>
    </row>
    <row r="2111" spans="1:14" x14ac:dyDescent="0.15">
      <c r="A2111" s="327"/>
      <c r="B2111" s="327"/>
      <c r="C2111" s="327"/>
      <c r="D2111" s="327"/>
      <c r="E2111" s="327"/>
      <c r="F2111" s="327"/>
      <c r="G2111" s="320"/>
      <c r="H2111" s="320"/>
      <c r="I2111" s="327"/>
      <c r="J2111" s="327"/>
      <c r="K2111" s="328"/>
      <c r="L2111" s="327"/>
      <c r="M2111" s="327"/>
      <c r="N2111" s="327"/>
    </row>
    <row r="2112" spans="1:14" x14ac:dyDescent="0.15">
      <c r="A2112" s="327"/>
      <c r="B2112" s="327"/>
      <c r="C2112" s="327"/>
      <c r="D2112" s="327"/>
      <c r="E2112" s="327"/>
      <c r="F2112" s="327"/>
      <c r="G2112" s="320"/>
      <c r="H2112" s="320"/>
      <c r="I2112" s="327"/>
      <c r="J2112" s="327"/>
      <c r="K2112" s="328"/>
      <c r="L2112" s="327"/>
      <c r="M2112" s="327"/>
      <c r="N2112" s="327"/>
    </row>
    <row r="2113" spans="1:14" x14ac:dyDescent="0.15">
      <c r="A2113" s="327"/>
      <c r="B2113" s="327"/>
      <c r="C2113" s="327"/>
      <c r="D2113" s="327"/>
      <c r="E2113" s="327"/>
      <c r="F2113" s="327"/>
      <c r="G2113" s="320"/>
      <c r="H2113" s="320"/>
      <c r="I2113" s="327"/>
      <c r="J2113" s="327"/>
      <c r="K2113" s="328"/>
      <c r="L2113" s="327"/>
      <c r="M2113" s="327"/>
      <c r="N2113" s="327"/>
    </row>
    <row r="2114" spans="1:14" x14ac:dyDescent="0.15">
      <c r="A2114" s="327"/>
      <c r="B2114" s="327"/>
      <c r="C2114" s="327"/>
      <c r="D2114" s="327"/>
      <c r="E2114" s="327"/>
      <c r="F2114" s="327"/>
      <c r="G2114" s="320"/>
      <c r="H2114" s="320"/>
      <c r="I2114" s="327"/>
      <c r="J2114" s="327"/>
      <c r="K2114" s="328"/>
      <c r="L2114" s="327"/>
      <c r="M2114" s="327"/>
      <c r="N2114" s="327"/>
    </row>
    <row r="2115" spans="1:14" x14ac:dyDescent="0.15">
      <c r="A2115" s="327"/>
      <c r="B2115" s="327"/>
      <c r="C2115" s="327"/>
      <c r="D2115" s="327"/>
      <c r="E2115" s="327"/>
      <c r="F2115" s="327"/>
      <c r="G2115" s="320"/>
      <c r="H2115" s="320"/>
      <c r="I2115" s="327"/>
      <c r="J2115" s="327"/>
      <c r="K2115" s="328"/>
      <c r="L2115" s="327"/>
      <c r="M2115" s="327"/>
      <c r="N2115" s="327"/>
    </row>
    <row r="2116" spans="1:14" x14ac:dyDescent="0.15">
      <c r="A2116" s="327"/>
      <c r="B2116" s="327"/>
      <c r="C2116" s="327"/>
      <c r="D2116" s="327"/>
      <c r="E2116" s="327"/>
      <c r="F2116" s="327"/>
      <c r="G2116" s="320"/>
      <c r="H2116" s="320"/>
      <c r="I2116" s="327"/>
      <c r="J2116" s="327"/>
      <c r="K2116" s="328"/>
      <c r="L2116" s="327"/>
      <c r="M2116" s="327"/>
      <c r="N2116" s="327"/>
    </row>
    <row r="2117" spans="1:14" x14ac:dyDescent="0.15">
      <c r="A2117" s="327"/>
      <c r="B2117" s="327"/>
      <c r="C2117" s="327"/>
      <c r="D2117" s="327"/>
      <c r="E2117" s="327"/>
      <c r="F2117" s="327"/>
      <c r="G2117" s="320"/>
      <c r="H2117" s="320"/>
      <c r="I2117" s="327"/>
      <c r="J2117" s="327"/>
      <c r="K2117" s="328"/>
      <c r="L2117" s="327"/>
      <c r="M2117" s="327"/>
      <c r="N2117" s="327"/>
    </row>
    <row r="2118" spans="1:14" x14ac:dyDescent="0.15">
      <c r="A2118" s="327"/>
      <c r="B2118" s="327"/>
      <c r="C2118" s="327"/>
      <c r="D2118" s="327"/>
      <c r="E2118" s="327"/>
      <c r="F2118" s="327"/>
      <c r="G2118" s="320"/>
      <c r="H2118" s="320"/>
      <c r="I2118" s="327"/>
      <c r="J2118" s="327"/>
      <c r="K2118" s="328"/>
      <c r="L2118" s="327"/>
      <c r="M2118" s="327"/>
      <c r="N2118" s="327"/>
    </row>
    <row r="2119" spans="1:14" x14ac:dyDescent="0.15">
      <c r="A2119" s="327"/>
      <c r="B2119" s="327"/>
      <c r="C2119" s="327"/>
      <c r="D2119" s="327"/>
      <c r="E2119" s="327"/>
      <c r="F2119" s="327"/>
      <c r="G2119" s="320"/>
      <c r="H2119" s="320"/>
      <c r="I2119" s="327"/>
      <c r="J2119" s="327"/>
      <c r="K2119" s="328"/>
      <c r="L2119" s="327"/>
      <c r="M2119" s="327"/>
      <c r="N2119" s="327"/>
    </row>
    <row r="2120" spans="1:14" x14ac:dyDescent="0.15">
      <c r="A2120" s="327"/>
      <c r="B2120" s="327"/>
      <c r="C2120" s="327"/>
      <c r="D2120" s="327"/>
      <c r="E2120" s="327"/>
      <c r="F2120" s="327"/>
      <c r="G2120" s="320"/>
      <c r="H2120" s="320"/>
      <c r="I2120" s="327"/>
      <c r="J2120" s="327"/>
      <c r="K2120" s="328"/>
      <c r="L2120" s="327"/>
      <c r="M2120" s="327"/>
      <c r="N2120" s="327"/>
    </row>
    <row r="2121" spans="1:14" x14ac:dyDescent="0.15">
      <c r="A2121" s="327"/>
      <c r="B2121" s="327"/>
      <c r="C2121" s="327"/>
      <c r="D2121" s="327"/>
      <c r="E2121" s="327"/>
      <c r="F2121" s="327"/>
      <c r="G2121" s="320"/>
      <c r="H2121" s="320"/>
      <c r="I2121" s="327"/>
      <c r="J2121" s="327"/>
      <c r="K2121" s="328"/>
      <c r="L2121" s="327"/>
      <c r="M2121" s="327"/>
      <c r="N2121" s="327"/>
    </row>
    <row r="2122" spans="1:14" x14ac:dyDescent="0.15">
      <c r="A2122" s="327"/>
      <c r="B2122" s="327"/>
      <c r="C2122" s="327"/>
      <c r="D2122" s="327"/>
      <c r="E2122" s="327"/>
      <c r="F2122" s="327"/>
      <c r="G2122" s="320"/>
      <c r="H2122" s="320"/>
      <c r="I2122" s="327"/>
      <c r="J2122" s="327"/>
      <c r="K2122" s="328"/>
      <c r="L2122" s="327"/>
      <c r="M2122" s="327"/>
      <c r="N2122" s="327"/>
    </row>
    <row r="2123" spans="1:14" x14ac:dyDescent="0.15">
      <c r="A2123" s="327"/>
      <c r="B2123" s="327"/>
      <c r="C2123" s="327"/>
      <c r="D2123" s="327"/>
      <c r="E2123" s="327"/>
      <c r="F2123" s="327"/>
      <c r="G2123" s="320"/>
      <c r="H2123" s="320"/>
      <c r="I2123" s="327"/>
      <c r="J2123" s="327"/>
      <c r="K2123" s="328"/>
      <c r="L2123" s="327"/>
      <c r="M2123" s="327"/>
      <c r="N2123" s="327"/>
    </row>
    <row r="2124" spans="1:14" x14ac:dyDescent="0.15">
      <c r="A2124" s="327"/>
      <c r="B2124" s="327"/>
      <c r="C2124" s="327"/>
      <c r="D2124" s="327"/>
      <c r="E2124" s="327"/>
      <c r="F2124" s="327"/>
      <c r="G2124" s="320"/>
      <c r="H2124" s="320"/>
      <c r="I2124" s="327"/>
      <c r="J2124" s="327"/>
      <c r="K2124" s="328"/>
      <c r="L2124" s="327"/>
      <c r="M2124" s="327"/>
      <c r="N2124" s="327"/>
    </row>
    <row r="2125" spans="1:14" x14ac:dyDescent="0.15">
      <c r="A2125" s="327"/>
      <c r="B2125" s="327"/>
      <c r="C2125" s="327"/>
      <c r="D2125" s="327"/>
      <c r="E2125" s="327"/>
      <c r="F2125" s="327"/>
      <c r="G2125" s="320"/>
      <c r="H2125" s="320"/>
      <c r="I2125" s="327"/>
      <c r="J2125" s="327"/>
      <c r="K2125" s="328"/>
      <c r="L2125" s="327"/>
      <c r="M2125" s="327"/>
      <c r="N2125" s="327"/>
    </row>
    <row r="2126" spans="1:14" x14ac:dyDescent="0.15">
      <c r="A2126" s="327"/>
      <c r="B2126" s="327"/>
      <c r="C2126" s="327"/>
      <c r="D2126" s="327"/>
      <c r="E2126" s="327"/>
      <c r="F2126" s="327"/>
      <c r="G2126" s="320"/>
      <c r="H2126" s="320"/>
      <c r="I2126" s="327"/>
      <c r="J2126" s="327"/>
      <c r="K2126" s="328"/>
      <c r="L2126" s="327"/>
      <c r="M2126" s="327"/>
      <c r="N2126" s="327"/>
    </row>
    <row r="2127" spans="1:14" x14ac:dyDescent="0.15">
      <c r="A2127" s="327"/>
      <c r="B2127" s="327"/>
      <c r="C2127" s="327"/>
      <c r="D2127" s="327"/>
      <c r="E2127" s="327"/>
      <c r="F2127" s="327"/>
      <c r="G2127" s="320"/>
      <c r="H2127" s="320"/>
      <c r="I2127" s="327"/>
      <c r="J2127" s="327"/>
      <c r="K2127" s="328"/>
      <c r="L2127" s="327"/>
      <c r="M2127" s="327"/>
      <c r="N2127" s="327"/>
    </row>
    <row r="2128" spans="1:14" x14ac:dyDescent="0.15">
      <c r="A2128" s="327"/>
      <c r="B2128" s="327"/>
      <c r="C2128" s="327"/>
      <c r="D2128" s="327"/>
      <c r="E2128" s="327"/>
      <c r="F2128" s="327"/>
      <c r="G2128" s="320"/>
      <c r="H2128" s="320"/>
      <c r="I2128" s="327"/>
      <c r="J2128" s="327"/>
      <c r="K2128" s="328"/>
      <c r="L2128" s="327"/>
      <c r="M2128" s="327"/>
      <c r="N2128" s="327"/>
    </row>
    <row r="2129" spans="1:14" x14ac:dyDescent="0.15">
      <c r="A2129" s="327"/>
      <c r="B2129" s="327"/>
      <c r="C2129" s="327"/>
      <c r="D2129" s="327"/>
      <c r="E2129" s="327"/>
      <c r="F2129" s="327"/>
      <c r="G2129" s="320"/>
      <c r="H2129" s="320"/>
      <c r="I2129" s="327"/>
      <c r="J2129" s="327"/>
      <c r="K2129" s="328"/>
      <c r="L2129" s="327"/>
      <c r="M2129" s="327"/>
      <c r="N2129" s="327"/>
    </row>
    <row r="2130" spans="1:14" x14ac:dyDescent="0.15">
      <c r="A2130" s="327"/>
      <c r="B2130" s="327"/>
      <c r="C2130" s="327"/>
      <c r="D2130" s="327"/>
      <c r="E2130" s="327"/>
      <c r="F2130" s="327"/>
      <c r="G2130" s="320"/>
      <c r="H2130" s="320"/>
      <c r="I2130" s="327"/>
      <c r="J2130" s="327"/>
      <c r="K2130" s="328"/>
      <c r="L2130" s="327"/>
      <c r="M2130" s="327"/>
      <c r="N2130" s="327"/>
    </row>
    <row r="2131" spans="1:14" x14ac:dyDescent="0.15">
      <c r="A2131" s="327"/>
      <c r="B2131" s="327"/>
      <c r="C2131" s="327"/>
      <c r="D2131" s="327"/>
      <c r="E2131" s="327"/>
      <c r="F2131" s="327"/>
      <c r="G2131" s="320"/>
      <c r="H2131" s="320"/>
      <c r="I2131" s="327"/>
      <c r="J2131" s="327"/>
      <c r="K2131" s="328"/>
      <c r="L2131" s="327"/>
      <c r="M2131" s="327"/>
      <c r="N2131" s="327"/>
    </row>
    <row r="2132" spans="1:14" x14ac:dyDescent="0.15">
      <c r="A2132" s="327"/>
      <c r="B2132" s="327"/>
      <c r="C2132" s="327"/>
      <c r="D2132" s="327"/>
      <c r="E2132" s="327"/>
      <c r="F2132" s="327"/>
      <c r="G2132" s="320"/>
      <c r="H2132" s="320"/>
      <c r="I2132" s="327"/>
      <c r="J2132" s="327"/>
      <c r="K2132" s="328"/>
      <c r="L2132" s="327"/>
      <c r="M2132" s="327"/>
      <c r="N2132" s="327"/>
    </row>
    <row r="2133" spans="1:14" x14ac:dyDescent="0.15">
      <c r="A2133" s="327"/>
      <c r="B2133" s="327"/>
      <c r="C2133" s="327"/>
      <c r="D2133" s="327"/>
      <c r="E2133" s="327"/>
      <c r="F2133" s="327"/>
      <c r="G2133" s="320"/>
      <c r="H2133" s="320"/>
      <c r="I2133" s="327"/>
      <c r="J2133" s="327"/>
      <c r="K2133" s="328"/>
      <c r="L2133" s="327"/>
      <c r="M2133" s="327"/>
      <c r="N2133" s="327"/>
    </row>
    <row r="2134" spans="1:14" x14ac:dyDescent="0.15">
      <c r="A2134" s="327"/>
      <c r="B2134" s="327"/>
      <c r="C2134" s="327"/>
      <c r="D2134" s="327"/>
      <c r="E2134" s="327"/>
      <c r="F2134" s="327"/>
      <c r="G2134" s="320"/>
      <c r="H2134" s="320"/>
      <c r="I2134" s="327"/>
      <c r="J2134" s="327"/>
      <c r="K2134" s="328"/>
      <c r="L2134" s="327"/>
      <c r="M2134" s="327"/>
      <c r="N2134" s="327"/>
    </row>
    <row r="2135" spans="1:14" x14ac:dyDescent="0.15">
      <c r="A2135" s="327"/>
      <c r="B2135" s="327"/>
      <c r="C2135" s="327"/>
      <c r="D2135" s="327"/>
      <c r="E2135" s="327"/>
      <c r="F2135" s="327"/>
      <c r="G2135" s="320"/>
      <c r="H2135" s="320"/>
      <c r="I2135" s="327"/>
      <c r="J2135" s="327"/>
      <c r="K2135" s="328"/>
      <c r="L2135" s="327"/>
      <c r="M2135" s="327"/>
      <c r="N2135" s="327"/>
    </row>
    <row r="2136" spans="1:14" x14ac:dyDescent="0.15">
      <c r="A2136" s="327"/>
      <c r="B2136" s="327"/>
      <c r="C2136" s="327"/>
      <c r="D2136" s="327"/>
      <c r="E2136" s="327"/>
      <c r="F2136" s="327"/>
      <c r="G2136" s="320"/>
      <c r="H2136" s="320"/>
      <c r="I2136" s="327"/>
      <c r="J2136" s="327"/>
      <c r="K2136" s="328"/>
      <c r="L2136" s="327"/>
      <c r="M2136" s="327"/>
      <c r="N2136" s="327"/>
    </row>
    <row r="2137" spans="1:14" x14ac:dyDescent="0.15">
      <c r="A2137" s="327"/>
      <c r="B2137" s="327"/>
      <c r="C2137" s="327"/>
      <c r="D2137" s="327"/>
      <c r="E2137" s="327"/>
      <c r="F2137" s="327"/>
      <c r="G2137" s="320"/>
      <c r="H2137" s="320"/>
      <c r="I2137" s="327"/>
      <c r="J2137" s="327"/>
      <c r="K2137" s="328"/>
      <c r="L2137" s="327"/>
      <c r="M2137" s="327"/>
      <c r="N2137" s="327"/>
    </row>
    <row r="2138" spans="1:14" x14ac:dyDescent="0.15">
      <c r="A2138" s="327"/>
      <c r="B2138" s="327"/>
      <c r="C2138" s="327"/>
      <c r="D2138" s="327"/>
      <c r="E2138" s="327"/>
      <c r="F2138" s="327"/>
      <c r="G2138" s="320"/>
      <c r="H2138" s="320"/>
      <c r="I2138" s="327"/>
      <c r="J2138" s="327"/>
      <c r="K2138" s="328"/>
      <c r="L2138" s="327"/>
      <c r="M2138" s="327"/>
      <c r="N2138" s="327"/>
    </row>
    <row r="2139" spans="1:14" x14ac:dyDescent="0.15">
      <c r="A2139" s="327"/>
      <c r="B2139" s="327"/>
      <c r="C2139" s="327"/>
      <c r="D2139" s="327"/>
      <c r="E2139" s="327"/>
      <c r="F2139" s="327"/>
      <c r="G2139" s="320"/>
      <c r="H2139" s="320"/>
      <c r="I2139" s="327"/>
      <c r="J2139" s="327"/>
      <c r="K2139" s="328"/>
      <c r="L2139" s="327"/>
      <c r="M2139" s="327"/>
      <c r="N2139" s="327"/>
    </row>
    <row r="2140" spans="1:14" x14ac:dyDescent="0.15">
      <c r="A2140" s="327"/>
      <c r="B2140" s="327"/>
      <c r="C2140" s="327"/>
      <c r="D2140" s="327"/>
      <c r="E2140" s="327"/>
      <c r="F2140" s="327"/>
      <c r="G2140" s="320"/>
      <c r="H2140" s="320"/>
      <c r="I2140" s="327"/>
      <c r="J2140" s="327"/>
      <c r="K2140" s="328"/>
      <c r="L2140" s="327"/>
      <c r="M2140" s="327"/>
      <c r="N2140" s="327"/>
    </row>
    <row r="2141" spans="1:14" x14ac:dyDescent="0.15">
      <c r="A2141" s="327"/>
      <c r="B2141" s="327"/>
      <c r="C2141" s="327"/>
      <c r="D2141" s="327"/>
      <c r="E2141" s="327"/>
      <c r="F2141" s="327"/>
      <c r="G2141" s="320"/>
      <c r="H2141" s="320"/>
      <c r="I2141" s="327"/>
      <c r="J2141" s="327"/>
      <c r="K2141" s="328"/>
      <c r="L2141" s="327"/>
      <c r="M2141" s="327"/>
      <c r="N2141" s="327"/>
    </row>
    <row r="2142" spans="1:14" x14ac:dyDescent="0.15">
      <c r="A2142" s="327"/>
      <c r="B2142" s="327"/>
      <c r="C2142" s="327"/>
      <c r="D2142" s="327"/>
      <c r="E2142" s="327"/>
      <c r="F2142" s="327"/>
      <c r="G2142" s="320"/>
      <c r="H2142" s="320"/>
      <c r="I2142" s="327"/>
      <c r="J2142" s="327"/>
      <c r="K2142" s="328"/>
      <c r="L2142" s="327"/>
      <c r="M2142" s="327"/>
      <c r="N2142" s="327"/>
    </row>
    <row r="2143" spans="1:14" x14ac:dyDescent="0.15">
      <c r="A2143" s="327"/>
      <c r="B2143" s="327"/>
      <c r="C2143" s="327"/>
      <c r="D2143" s="327"/>
      <c r="E2143" s="327"/>
      <c r="F2143" s="327"/>
      <c r="G2143" s="320"/>
      <c r="H2143" s="320"/>
      <c r="I2143" s="327"/>
      <c r="J2143" s="327"/>
      <c r="K2143" s="328"/>
      <c r="L2143" s="327"/>
      <c r="M2143" s="327"/>
      <c r="N2143" s="327"/>
    </row>
    <row r="2144" spans="1:14" x14ac:dyDescent="0.15">
      <c r="A2144" s="327"/>
      <c r="B2144" s="327"/>
      <c r="C2144" s="327"/>
      <c r="D2144" s="327"/>
      <c r="E2144" s="327"/>
      <c r="F2144" s="327"/>
      <c r="G2144" s="320"/>
      <c r="H2144" s="320"/>
      <c r="I2144" s="327"/>
      <c r="J2144" s="327"/>
      <c r="K2144" s="328"/>
      <c r="L2144" s="327"/>
      <c r="M2144" s="327"/>
      <c r="N2144" s="327"/>
    </row>
    <row r="2145" spans="1:14" x14ac:dyDescent="0.15">
      <c r="A2145" s="327"/>
      <c r="B2145" s="327"/>
      <c r="C2145" s="327"/>
      <c r="D2145" s="327"/>
      <c r="E2145" s="327"/>
      <c r="F2145" s="327"/>
      <c r="G2145" s="320"/>
      <c r="H2145" s="320"/>
      <c r="I2145" s="327"/>
      <c r="J2145" s="327"/>
      <c r="K2145" s="328"/>
      <c r="L2145" s="327"/>
      <c r="M2145" s="327"/>
      <c r="N2145" s="327"/>
    </row>
    <row r="2146" spans="1:14" x14ac:dyDescent="0.15">
      <c r="A2146" s="327"/>
      <c r="B2146" s="327"/>
      <c r="C2146" s="327"/>
      <c r="D2146" s="327"/>
      <c r="E2146" s="327"/>
      <c r="F2146" s="327"/>
      <c r="G2146" s="320"/>
      <c r="H2146" s="320"/>
      <c r="I2146" s="327"/>
      <c r="J2146" s="327"/>
      <c r="K2146" s="328"/>
      <c r="L2146" s="327"/>
      <c r="M2146" s="327"/>
      <c r="N2146" s="327"/>
    </row>
    <row r="2147" spans="1:14" x14ac:dyDescent="0.15">
      <c r="A2147" s="327"/>
      <c r="B2147" s="327"/>
      <c r="C2147" s="327"/>
      <c r="D2147" s="327"/>
      <c r="E2147" s="327"/>
      <c r="F2147" s="327"/>
      <c r="G2147" s="320"/>
      <c r="H2147" s="320"/>
      <c r="I2147" s="327"/>
      <c r="J2147" s="327"/>
      <c r="K2147" s="328"/>
      <c r="L2147" s="327"/>
      <c r="M2147" s="327"/>
      <c r="N2147" s="327"/>
    </row>
    <row r="2148" spans="1:14" x14ac:dyDescent="0.15">
      <c r="A2148" s="327"/>
      <c r="B2148" s="327"/>
      <c r="C2148" s="327"/>
      <c r="D2148" s="327"/>
      <c r="E2148" s="327"/>
      <c r="F2148" s="327"/>
      <c r="G2148" s="320"/>
      <c r="H2148" s="320"/>
      <c r="I2148" s="327"/>
      <c r="J2148" s="327"/>
      <c r="K2148" s="328"/>
      <c r="L2148" s="327"/>
      <c r="M2148" s="327"/>
      <c r="N2148" s="327"/>
    </row>
    <row r="2149" spans="1:14" x14ac:dyDescent="0.15">
      <c r="A2149" s="327"/>
      <c r="B2149" s="327"/>
      <c r="C2149" s="327"/>
      <c r="D2149" s="327"/>
      <c r="E2149" s="327"/>
      <c r="F2149" s="327"/>
      <c r="G2149" s="320"/>
      <c r="H2149" s="320"/>
      <c r="I2149" s="327"/>
      <c r="J2149" s="327"/>
      <c r="K2149" s="328"/>
      <c r="L2149" s="327"/>
      <c r="M2149" s="327"/>
      <c r="N2149" s="327"/>
    </row>
    <row r="2150" spans="1:14" x14ac:dyDescent="0.15">
      <c r="A2150" s="327"/>
      <c r="B2150" s="327"/>
      <c r="C2150" s="327"/>
      <c r="D2150" s="327"/>
      <c r="E2150" s="327"/>
      <c r="F2150" s="327"/>
      <c r="G2150" s="320"/>
      <c r="H2150" s="320"/>
      <c r="I2150" s="327"/>
      <c r="J2150" s="327"/>
      <c r="K2150" s="328"/>
      <c r="L2150" s="327"/>
      <c r="M2150" s="327"/>
      <c r="N2150" s="327"/>
    </row>
    <row r="2151" spans="1:14" x14ac:dyDescent="0.15">
      <c r="A2151" s="327"/>
      <c r="B2151" s="327"/>
      <c r="C2151" s="327"/>
      <c r="D2151" s="327"/>
      <c r="E2151" s="327"/>
      <c r="F2151" s="327"/>
      <c r="G2151" s="320"/>
      <c r="H2151" s="320"/>
      <c r="I2151" s="327"/>
      <c r="J2151" s="327"/>
      <c r="K2151" s="328"/>
      <c r="L2151" s="327"/>
      <c r="M2151" s="327"/>
      <c r="N2151" s="327"/>
    </row>
    <row r="2152" spans="1:14" x14ac:dyDescent="0.15">
      <c r="A2152" s="327"/>
      <c r="B2152" s="327"/>
      <c r="C2152" s="327"/>
      <c r="D2152" s="327"/>
      <c r="E2152" s="327"/>
      <c r="F2152" s="327"/>
      <c r="G2152" s="320"/>
      <c r="H2152" s="320"/>
      <c r="I2152" s="327"/>
      <c r="J2152" s="327"/>
      <c r="K2152" s="328"/>
      <c r="L2152" s="327"/>
      <c r="M2152" s="327"/>
      <c r="N2152" s="327"/>
    </row>
    <row r="2153" spans="1:14" x14ac:dyDescent="0.15">
      <c r="A2153" s="327"/>
      <c r="B2153" s="327"/>
      <c r="C2153" s="327"/>
      <c r="D2153" s="327"/>
      <c r="E2153" s="327"/>
      <c r="F2153" s="327"/>
      <c r="G2153" s="320"/>
      <c r="H2153" s="320"/>
      <c r="I2153" s="327"/>
      <c r="J2153" s="327"/>
      <c r="K2153" s="328"/>
      <c r="L2153" s="327"/>
      <c r="M2153" s="327"/>
      <c r="N2153" s="327"/>
    </row>
    <row r="2154" spans="1:14" x14ac:dyDescent="0.15">
      <c r="A2154" s="327"/>
      <c r="B2154" s="327"/>
      <c r="C2154" s="327"/>
      <c r="D2154" s="327"/>
      <c r="E2154" s="327"/>
      <c r="F2154" s="327"/>
      <c r="G2154" s="320"/>
      <c r="H2154" s="320"/>
      <c r="I2154" s="327"/>
      <c r="J2154" s="327"/>
      <c r="K2154" s="328"/>
      <c r="L2154" s="327"/>
      <c r="M2154" s="327"/>
      <c r="N2154" s="327"/>
    </row>
    <row r="2155" spans="1:14" x14ac:dyDescent="0.15">
      <c r="A2155" s="327"/>
      <c r="B2155" s="327"/>
      <c r="C2155" s="327"/>
      <c r="D2155" s="327"/>
      <c r="E2155" s="327"/>
      <c r="F2155" s="327"/>
      <c r="G2155" s="320"/>
      <c r="H2155" s="320"/>
      <c r="I2155" s="327"/>
      <c r="J2155" s="327"/>
      <c r="K2155" s="328"/>
      <c r="L2155" s="327"/>
      <c r="M2155" s="327"/>
      <c r="N2155" s="327"/>
    </row>
    <row r="2156" spans="1:14" x14ac:dyDescent="0.15">
      <c r="A2156" s="327"/>
      <c r="B2156" s="327"/>
      <c r="C2156" s="327"/>
      <c r="D2156" s="327"/>
      <c r="E2156" s="327"/>
      <c r="F2156" s="327"/>
      <c r="G2156" s="320"/>
      <c r="H2156" s="320"/>
      <c r="I2156" s="327"/>
      <c r="J2156" s="327"/>
      <c r="K2156" s="328"/>
      <c r="L2156" s="327"/>
      <c r="M2156" s="327"/>
      <c r="N2156" s="327"/>
    </row>
    <row r="2157" spans="1:14" x14ac:dyDescent="0.15">
      <c r="A2157" s="327"/>
      <c r="B2157" s="327"/>
      <c r="C2157" s="327"/>
      <c r="D2157" s="327"/>
      <c r="E2157" s="327"/>
      <c r="F2157" s="327"/>
      <c r="G2157" s="320"/>
      <c r="H2157" s="320"/>
      <c r="I2157" s="327"/>
      <c r="J2157" s="327"/>
      <c r="K2157" s="328"/>
      <c r="L2157" s="327"/>
      <c r="M2157" s="327"/>
      <c r="N2157" s="327"/>
    </row>
    <row r="2158" spans="1:14" x14ac:dyDescent="0.15">
      <c r="A2158" s="327"/>
      <c r="B2158" s="327"/>
      <c r="C2158" s="327"/>
      <c r="D2158" s="327"/>
      <c r="E2158" s="327"/>
      <c r="F2158" s="327"/>
      <c r="G2158" s="320"/>
      <c r="H2158" s="320"/>
      <c r="I2158" s="327"/>
      <c r="J2158" s="327"/>
      <c r="K2158" s="328"/>
      <c r="L2158" s="327"/>
      <c r="M2158" s="327"/>
      <c r="N2158" s="327"/>
    </row>
    <row r="2159" spans="1:14" x14ac:dyDescent="0.15">
      <c r="A2159" s="327"/>
      <c r="B2159" s="327"/>
      <c r="C2159" s="327"/>
      <c r="D2159" s="327"/>
      <c r="E2159" s="327"/>
      <c r="F2159" s="327"/>
      <c r="G2159" s="320"/>
      <c r="H2159" s="320"/>
      <c r="I2159" s="327"/>
      <c r="J2159" s="327"/>
      <c r="K2159" s="328"/>
      <c r="L2159" s="327"/>
      <c r="M2159" s="327"/>
      <c r="N2159" s="327"/>
    </row>
    <row r="2160" spans="1:14" x14ac:dyDescent="0.15">
      <c r="A2160" s="327"/>
      <c r="B2160" s="327"/>
      <c r="C2160" s="327"/>
      <c r="D2160" s="327"/>
      <c r="E2160" s="327"/>
      <c r="F2160" s="327"/>
      <c r="G2160" s="320"/>
      <c r="H2160" s="320"/>
      <c r="I2160" s="327"/>
      <c r="J2160" s="327"/>
      <c r="K2160" s="328"/>
      <c r="L2160" s="327"/>
      <c r="M2160" s="327"/>
      <c r="N2160" s="327"/>
    </row>
    <row r="2161" spans="1:14" x14ac:dyDescent="0.15">
      <c r="A2161" s="327"/>
      <c r="B2161" s="327"/>
      <c r="C2161" s="327"/>
      <c r="D2161" s="327"/>
      <c r="E2161" s="327"/>
      <c r="F2161" s="327"/>
      <c r="G2161" s="320"/>
      <c r="H2161" s="320"/>
      <c r="I2161" s="327"/>
      <c r="J2161" s="327"/>
      <c r="K2161" s="328"/>
      <c r="L2161" s="327"/>
      <c r="M2161" s="327"/>
      <c r="N2161" s="327"/>
    </row>
    <row r="2162" spans="1:14" x14ac:dyDescent="0.15">
      <c r="A2162" s="327"/>
      <c r="B2162" s="327"/>
      <c r="C2162" s="327"/>
      <c r="D2162" s="327"/>
      <c r="E2162" s="327"/>
      <c r="F2162" s="327"/>
      <c r="G2162" s="320"/>
      <c r="H2162" s="320"/>
      <c r="I2162" s="327"/>
      <c r="J2162" s="327"/>
      <c r="K2162" s="328"/>
      <c r="L2162" s="327"/>
      <c r="M2162" s="327"/>
      <c r="N2162" s="327"/>
    </row>
    <row r="2163" spans="1:14" x14ac:dyDescent="0.15">
      <c r="A2163" s="327"/>
      <c r="B2163" s="327"/>
      <c r="C2163" s="327"/>
      <c r="D2163" s="327"/>
      <c r="E2163" s="327"/>
      <c r="F2163" s="327"/>
      <c r="G2163" s="320"/>
      <c r="H2163" s="320"/>
      <c r="I2163" s="327"/>
      <c r="J2163" s="327"/>
      <c r="K2163" s="328"/>
      <c r="L2163" s="327"/>
      <c r="M2163" s="327"/>
      <c r="N2163" s="327"/>
    </row>
    <row r="2164" spans="1:14" x14ac:dyDescent="0.15">
      <c r="A2164" s="327"/>
      <c r="B2164" s="327"/>
      <c r="C2164" s="327"/>
      <c r="D2164" s="327"/>
      <c r="E2164" s="327"/>
      <c r="F2164" s="327"/>
      <c r="G2164" s="320"/>
      <c r="H2164" s="320"/>
      <c r="I2164" s="327"/>
      <c r="J2164" s="327"/>
      <c r="K2164" s="328"/>
      <c r="L2164" s="327"/>
      <c r="M2164" s="327"/>
      <c r="N2164" s="327"/>
    </row>
    <row r="2165" spans="1:14" x14ac:dyDescent="0.15">
      <c r="A2165" s="327"/>
      <c r="B2165" s="327"/>
      <c r="C2165" s="327"/>
      <c r="D2165" s="327"/>
      <c r="E2165" s="327"/>
      <c r="F2165" s="327"/>
      <c r="G2165" s="320"/>
      <c r="H2165" s="320"/>
      <c r="I2165" s="327"/>
      <c r="J2165" s="327"/>
      <c r="K2165" s="328"/>
      <c r="L2165" s="327"/>
      <c r="M2165" s="327"/>
      <c r="N2165" s="327"/>
    </row>
    <row r="2166" spans="1:14" x14ac:dyDescent="0.15">
      <c r="A2166" s="327"/>
      <c r="B2166" s="327"/>
      <c r="C2166" s="327"/>
      <c r="D2166" s="327"/>
      <c r="E2166" s="327"/>
      <c r="F2166" s="327"/>
      <c r="G2166" s="320"/>
      <c r="H2166" s="320"/>
      <c r="I2166" s="327"/>
      <c r="J2166" s="327"/>
      <c r="K2166" s="328"/>
      <c r="L2166" s="327"/>
      <c r="M2166" s="327"/>
      <c r="N2166" s="327"/>
    </row>
    <row r="2167" spans="1:14" x14ac:dyDescent="0.15">
      <c r="A2167" s="327"/>
      <c r="B2167" s="327"/>
      <c r="C2167" s="327"/>
      <c r="D2167" s="327"/>
      <c r="E2167" s="327"/>
      <c r="F2167" s="327"/>
      <c r="G2167" s="320"/>
      <c r="H2167" s="320"/>
      <c r="I2167" s="327"/>
      <c r="J2167" s="327"/>
      <c r="K2167" s="328"/>
      <c r="L2167" s="327"/>
      <c r="M2167" s="327"/>
      <c r="N2167" s="327"/>
    </row>
    <row r="2168" spans="1:14" x14ac:dyDescent="0.15">
      <c r="A2168" s="327"/>
      <c r="B2168" s="327"/>
      <c r="C2168" s="327"/>
      <c r="D2168" s="327"/>
      <c r="E2168" s="327"/>
      <c r="F2168" s="327"/>
      <c r="G2168" s="320"/>
      <c r="H2168" s="320"/>
      <c r="I2168" s="327"/>
      <c r="J2168" s="327"/>
      <c r="K2168" s="328"/>
      <c r="L2168" s="327"/>
      <c r="M2168" s="327"/>
      <c r="N2168" s="327"/>
    </row>
    <row r="2169" spans="1:14" x14ac:dyDescent="0.15">
      <c r="A2169" s="327"/>
      <c r="B2169" s="327"/>
      <c r="C2169" s="327"/>
      <c r="D2169" s="327"/>
      <c r="E2169" s="327"/>
      <c r="F2169" s="327"/>
      <c r="G2169" s="320"/>
      <c r="H2169" s="320"/>
      <c r="I2169" s="327"/>
      <c r="J2169" s="327"/>
      <c r="K2169" s="328"/>
      <c r="L2169" s="327"/>
      <c r="M2169" s="327"/>
      <c r="N2169" s="327"/>
    </row>
    <row r="2170" spans="1:14" x14ac:dyDescent="0.15">
      <c r="A2170" s="327"/>
      <c r="B2170" s="327"/>
      <c r="C2170" s="327"/>
      <c r="D2170" s="327"/>
      <c r="E2170" s="327"/>
      <c r="F2170" s="327"/>
      <c r="G2170" s="320"/>
      <c r="H2170" s="320"/>
      <c r="I2170" s="327"/>
      <c r="J2170" s="327"/>
      <c r="K2170" s="328"/>
      <c r="L2170" s="327"/>
      <c r="M2170" s="327"/>
      <c r="N2170" s="327"/>
    </row>
    <row r="2171" spans="1:14" x14ac:dyDescent="0.15">
      <c r="A2171" s="327"/>
      <c r="B2171" s="327"/>
      <c r="C2171" s="327"/>
      <c r="D2171" s="327"/>
      <c r="E2171" s="327"/>
      <c r="F2171" s="327"/>
      <c r="G2171" s="320"/>
      <c r="H2171" s="320"/>
      <c r="I2171" s="327"/>
      <c r="J2171" s="327"/>
      <c r="K2171" s="328"/>
      <c r="L2171" s="327"/>
      <c r="M2171" s="327"/>
      <c r="N2171" s="327"/>
    </row>
    <row r="2172" spans="1:14" x14ac:dyDescent="0.15">
      <c r="A2172" s="327"/>
      <c r="B2172" s="327"/>
      <c r="C2172" s="327"/>
      <c r="D2172" s="327"/>
      <c r="E2172" s="327"/>
      <c r="F2172" s="327"/>
      <c r="G2172" s="320"/>
      <c r="H2172" s="320"/>
      <c r="I2172" s="327"/>
      <c r="J2172" s="327"/>
      <c r="K2172" s="328"/>
      <c r="L2172" s="327"/>
      <c r="M2172" s="327"/>
      <c r="N2172" s="327"/>
    </row>
    <row r="2173" spans="1:14" x14ac:dyDescent="0.15">
      <c r="A2173" s="327"/>
      <c r="B2173" s="327"/>
      <c r="C2173" s="327"/>
      <c r="D2173" s="327"/>
      <c r="E2173" s="327"/>
      <c r="F2173" s="327"/>
      <c r="G2173" s="320"/>
      <c r="H2173" s="320"/>
      <c r="I2173" s="327"/>
      <c r="J2173" s="327"/>
      <c r="K2173" s="328"/>
      <c r="L2173" s="327"/>
      <c r="M2173" s="327"/>
      <c r="N2173" s="327"/>
    </row>
    <row r="2174" spans="1:14" x14ac:dyDescent="0.15">
      <c r="A2174" s="327"/>
      <c r="B2174" s="327"/>
      <c r="C2174" s="327"/>
      <c r="D2174" s="327"/>
      <c r="E2174" s="327"/>
      <c r="F2174" s="327"/>
      <c r="G2174" s="320"/>
      <c r="H2174" s="320"/>
      <c r="I2174" s="327"/>
      <c r="J2174" s="327"/>
      <c r="K2174" s="328"/>
      <c r="L2174" s="327"/>
      <c r="M2174" s="327"/>
      <c r="N2174" s="327"/>
    </row>
    <row r="2175" spans="1:14" x14ac:dyDescent="0.15">
      <c r="A2175" s="327"/>
      <c r="B2175" s="327"/>
      <c r="C2175" s="327"/>
      <c r="D2175" s="327"/>
      <c r="E2175" s="327"/>
      <c r="F2175" s="327"/>
      <c r="G2175" s="320"/>
      <c r="H2175" s="320"/>
      <c r="I2175" s="327"/>
      <c r="J2175" s="327"/>
      <c r="K2175" s="328"/>
      <c r="L2175" s="327"/>
      <c r="M2175" s="327"/>
      <c r="N2175" s="327"/>
    </row>
    <row r="2176" spans="1:14" x14ac:dyDescent="0.15">
      <c r="A2176" s="327"/>
      <c r="B2176" s="327"/>
      <c r="C2176" s="327"/>
      <c r="D2176" s="327"/>
      <c r="E2176" s="327"/>
      <c r="F2176" s="327"/>
      <c r="G2176" s="320"/>
      <c r="H2176" s="320"/>
      <c r="I2176" s="327"/>
      <c r="J2176" s="327"/>
      <c r="K2176" s="328"/>
      <c r="L2176" s="327"/>
      <c r="M2176" s="327"/>
      <c r="N2176" s="327"/>
    </row>
    <row r="2177" spans="1:14" x14ac:dyDescent="0.15">
      <c r="A2177" s="327"/>
      <c r="B2177" s="327"/>
      <c r="C2177" s="327"/>
      <c r="D2177" s="327"/>
      <c r="E2177" s="327"/>
      <c r="F2177" s="327"/>
      <c r="G2177" s="320"/>
      <c r="H2177" s="320"/>
      <c r="I2177" s="327"/>
      <c r="J2177" s="327"/>
      <c r="K2177" s="328"/>
      <c r="L2177" s="327"/>
      <c r="M2177" s="327"/>
      <c r="N2177" s="327"/>
    </row>
    <row r="2178" spans="1:14" x14ac:dyDescent="0.15">
      <c r="A2178" s="327"/>
      <c r="B2178" s="327"/>
      <c r="C2178" s="327"/>
      <c r="D2178" s="327"/>
      <c r="E2178" s="327"/>
      <c r="F2178" s="327"/>
      <c r="G2178" s="320"/>
      <c r="H2178" s="320"/>
      <c r="I2178" s="327"/>
      <c r="J2178" s="327"/>
      <c r="K2178" s="328"/>
      <c r="L2178" s="327"/>
      <c r="M2178" s="327"/>
      <c r="N2178" s="327"/>
    </row>
    <row r="2179" spans="1:14" x14ac:dyDescent="0.15">
      <c r="A2179" s="327"/>
      <c r="B2179" s="327"/>
      <c r="C2179" s="327"/>
      <c r="D2179" s="327"/>
      <c r="E2179" s="327"/>
      <c r="F2179" s="327"/>
      <c r="G2179" s="320"/>
      <c r="H2179" s="320"/>
      <c r="I2179" s="327"/>
      <c r="J2179" s="327"/>
      <c r="K2179" s="328"/>
      <c r="L2179" s="327"/>
      <c r="M2179" s="327"/>
      <c r="N2179" s="327"/>
    </row>
    <row r="2180" spans="1:14" x14ac:dyDescent="0.15">
      <c r="A2180" s="327"/>
      <c r="B2180" s="327"/>
      <c r="C2180" s="327"/>
      <c r="D2180" s="327"/>
      <c r="E2180" s="327"/>
      <c r="F2180" s="327"/>
      <c r="G2180" s="320"/>
      <c r="H2180" s="320"/>
      <c r="I2180" s="327"/>
      <c r="J2180" s="327"/>
      <c r="K2180" s="328"/>
      <c r="L2180" s="327"/>
      <c r="M2180" s="327"/>
      <c r="N2180" s="327"/>
    </row>
    <row r="2181" spans="1:14" x14ac:dyDescent="0.15">
      <c r="A2181" s="327"/>
      <c r="B2181" s="327"/>
      <c r="C2181" s="327"/>
      <c r="D2181" s="327"/>
      <c r="E2181" s="327"/>
      <c r="F2181" s="327"/>
      <c r="G2181" s="320"/>
      <c r="H2181" s="320"/>
      <c r="I2181" s="327"/>
      <c r="J2181" s="327"/>
      <c r="K2181" s="328"/>
      <c r="L2181" s="327"/>
      <c r="M2181" s="327"/>
      <c r="N2181" s="327"/>
    </row>
    <row r="2182" spans="1:14" x14ac:dyDescent="0.15">
      <c r="A2182" s="327"/>
      <c r="B2182" s="327"/>
      <c r="C2182" s="327"/>
      <c r="D2182" s="327"/>
      <c r="E2182" s="327"/>
      <c r="F2182" s="327"/>
      <c r="G2182" s="320"/>
      <c r="H2182" s="320"/>
      <c r="I2182" s="327"/>
      <c r="J2182" s="327"/>
      <c r="K2182" s="328"/>
      <c r="L2182" s="327"/>
      <c r="M2182" s="327"/>
      <c r="N2182" s="327"/>
    </row>
    <row r="2183" spans="1:14" x14ac:dyDescent="0.15">
      <c r="A2183" s="327"/>
      <c r="B2183" s="327"/>
      <c r="C2183" s="327"/>
      <c r="D2183" s="327"/>
      <c r="E2183" s="327"/>
      <c r="F2183" s="327"/>
      <c r="G2183" s="320"/>
      <c r="H2183" s="320"/>
      <c r="I2183" s="327"/>
      <c r="J2183" s="327"/>
      <c r="K2183" s="328"/>
      <c r="L2183" s="327"/>
      <c r="M2183" s="327"/>
      <c r="N2183" s="327"/>
    </row>
    <row r="2184" spans="1:14" x14ac:dyDescent="0.15">
      <c r="A2184" s="327"/>
      <c r="B2184" s="327"/>
      <c r="C2184" s="327"/>
      <c r="D2184" s="327"/>
      <c r="E2184" s="327"/>
      <c r="F2184" s="327"/>
      <c r="G2184" s="320"/>
      <c r="H2184" s="320"/>
      <c r="I2184" s="327"/>
      <c r="J2184" s="327"/>
      <c r="K2184" s="328"/>
      <c r="L2184" s="327"/>
      <c r="M2184" s="327"/>
      <c r="N2184" s="327"/>
    </row>
    <row r="2185" spans="1:14" x14ac:dyDescent="0.15">
      <c r="A2185" s="327"/>
      <c r="B2185" s="327"/>
      <c r="C2185" s="327"/>
      <c r="D2185" s="327"/>
      <c r="E2185" s="327"/>
      <c r="F2185" s="327"/>
      <c r="G2185" s="320"/>
      <c r="H2185" s="320"/>
      <c r="I2185" s="327"/>
      <c r="J2185" s="327"/>
      <c r="K2185" s="328"/>
      <c r="L2185" s="327"/>
      <c r="M2185" s="327"/>
      <c r="N2185" s="327"/>
    </row>
    <row r="2186" spans="1:14" x14ac:dyDescent="0.15">
      <c r="A2186" s="327"/>
      <c r="B2186" s="327"/>
      <c r="C2186" s="327"/>
      <c r="D2186" s="327"/>
      <c r="E2186" s="327"/>
      <c r="F2186" s="327"/>
      <c r="G2186" s="320"/>
      <c r="H2186" s="320"/>
      <c r="I2186" s="327"/>
      <c r="J2186" s="327"/>
      <c r="K2186" s="328"/>
      <c r="L2186" s="327"/>
      <c r="M2186" s="327"/>
      <c r="N2186" s="327"/>
    </row>
    <row r="2187" spans="1:14" x14ac:dyDescent="0.15">
      <c r="A2187" s="327"/>
      <c r="B2187" s="327"/>
      <c r="C2187" s="327"/>
      <c r="D2187" s="327"/>
      <c r="E2187" s="327"/>
      <c r="F2187" s="327"/>
      <c r="G2187" s="320"/>
      <c r="H2187" s="320"/>
      <c r="I2187" s="327"/>
      <c r="J2187" s="327"/>
      <c r="K2187" s="328"/>
      <c r="L2187" s="327"/>
      <c r="M2187" s="327"/>
      <c r="N2187" s="327"/>
    </row>
    <row r="2188" spans="1:14" x14ac:dyDescent="0.15">
      <c r="A2188" s="327"/>
      <c r="B2188" s="327"/>
      <c r="C2188" s="327"/>
      <c r="D2188" s="327"/>
      <c r="E2188" s="327"/>
      <c r="F2188" s="327"/>
      <c r="G2188" s="320"/>
      <c r="H2188" s="320"/>
      <c r="I2188" s="327"/>
      <c r="J2188" s="327"/>
      <c r="K2188" s="328"/>
      <c r="L2188" s="327"/>
      <c r="M2188" s="327"/>
      <c r="N2188" s="327"/>
    </row>
    <row r="2189" spans="1:14" x14ac:dyDescent="0.15">
      <c r="A2189" s="327"/>
      <c r="B2189" s="327"/>
      <c r="C2189" s="327"/>
      <c r="D2189" s="327"/>
      <c r="E2189" s="327"/>
      <c r="F2189" s="327"/>
      <c r="G2189" s="320"/>
      <c r="H2189" s="320"/>
      <c r="I2189" s="327"/>
      <c r="J2189" s="327"/>
      <c r="K2189" s="328"/>
      <c r="L2189" s="327"/>
      <c r="M2189" s="327"/>
      <c r="N2189" s="327"/>
    </row>
    <row r="2190" spans="1:14" x14ac:dyDescent="0.15">
      <c r="A2190" s="327"/>
      <c r="B2190" s="327"/>
      <c r="C2190" s="327"/>
      <c r="D2190" s="327"/>
      <c r="E2190" s="327"/>
      <c r="F2190" s="327"/>
      <c r="G2190" s="320"/>
      <c r="H2190" s="320"/>
      <c r="I2190" s="327"/>
      <c r="J2190" s="327"/>
      <c r="K2190" s="328"/>
      <c r="L2190" s="327"/>
      <c r="M2190" s="327"/>
      <c r="N2190" s="327"/>
    </row>
    <row r="2191" spans="1:14" x14ac:dyDescent="0.15">
      <c r="A2191" s="327"/>
      <c r="B2191" s="327"/>
      <c r="C2191" s="327"/>
      <c r="D2191" s="327"/>
      <c r="E2191" s="327"/>
      <c r="F2191" s="327"/>
      <c r="G2191" s="320"/>
      <c r="H2191" s="320"/>
      <c r="I2191" s="327"/>
      <c r="J2191" s="327"/>
      <c r="K2191" s="328"/>
      <c r="L2191" s="327"/>
      <c r="M2191" s="327"/>
      <c r="N2191" s="327"/>
    </row>
    <row r="2192" spans="1:14" x14ac:dyDescent="0.15">
      <c r="A2192" s="327"/>
      <c r="B2192" s="327"/>
      <c r="C2192" s="327"/>
      <c r="D2192" s="327"/>
      <c r="E2192" s="327"/>
      <c r="F2192" s="327"/>
      <c r="G2192" s="320"/>
      <c r="H2192" s="320"/>
      <c r="I2192" s="327"/>
      <c r="J2192" s="327"/>
      <c r="K2192" s="328"/>
      <c r="L2192" s="327"/>
      <c r="M2192" s="327"/>
      <c r="N2192" s="327"/>
    </row>
    <row r="2193" spans="1:14" x14ac:dyDescent="0.15">
      <c r="A2193" s="327"/>
      <c r="B2193" s="327"/>
      <c r="C2193" s="327"/>
      <c r="D2193" s="327"/>
      <c r="E2193" s="327"/>
      <c r="F2193" s="327"/>
      <c r="G2193" s="320"/>
      <c r="H2193" s="320"/>
      <c r="I2193" s="327"/>
      <c r="J2193" s="327"/>
      <c r="K2193" s="328"/>
      <c r="L2193" s="327"/>
      <c r="M2193" s="327"/>
      <c r="N2193" s="327"/>
    </row>
    <row r="2194" spans="1:14" x14ac:dyDescent="0.15">
      <c r="A2194" s="327"/>
      <c r="B2194" s="327"/>
      <c r="C2194" s="327"/>
      <c r="D2194" s="327"/>
      <c r="E2194" s="327"/>
      <c r="F2194" s="327"/>
      <c r="G2194" s="320"/>
      <c r="H2194" s="320"/>
      <c r="I2194" s="327"/>
      <c r="J2194" s="327"/>
      <c r="K2194" s="328"/>
      <c r="L2194" s="327"/>
      <c r="M2194" s="327"/>
      <c r="N2194" s="327"/>
    </row>
    <row r="2195" spans="1:14" x14ac:dyDescent="0.15">
      <c r="A2195" s="327"/>
      <c r="B2195" s="327"/>
      <c r="C2195" s="327"/>
      <c r="D2195" s="327"/>
      <c r="E2195" s="327"/>
      <c r="F2195" s="327"/>
      <c r="G2195" s="320"/>
      <c r="H2195" s="320"/>
      <c r="I2195" s="327"/>
      <c r="J2195" s="327"/>
      <c r="K2195" s="328"/>
      <c r="L2195" s="327"/>
      <c r="M2195" s="327"/>
      <c r="N2195" s="327"/>
    </row>
    <row r="2196" spans="1:14" x14ac:dyDescent="0.15">
      <c r="A2196" s="327"/>
      <c r="B2196" s="327"/>
      <c r="C2196" s="327"/>
      <c r="D2196" s="327"/>
      <c r="E2196" s="327"/>
      <c r="F2196" s="327"/>
      <c r="G2196" s="320"/>
      <c r="H2196" s="320"/>
      <c r="I2196" s="327"/>
      <c r="J2196" s="327"/>
      <c r="K2196" s="328"/>
      <c r="L2196" s="327"/>
      <c r="M2196" s="327"/>
      <c r="N2196" s="327"/>
    </row>
    <row r="2197" spans="1:14" x14ac:dyDescent="0.15">
      <c r="A2197" s="327"/>
      <c r="B2197" s="327"/>
      <c r="C2197" s="327"/>
      <c r="D2197" s="327"/>
      <c r="E2197" s="327"/>
      <c r="F2197" s="327"/>
      <c r="G2197" s="327"/>
      <c r="H2197" s="327"/>
      <c r="I2197" s="327"/>
      <c r="J2197" s="327"/>
      <c r="K2197" s="328"/>
      <c r="L2197" s="327"/>
      <c r="M2197" s="327"/>
      <c r="N2197" s="327"/>
    </row>
    <row r="2198" spans="1:14" x14ac:dyDescent="0.15">
      <c r="A2198" s="327"/>
      <c r="B2198" s="327"/>
      <c r="C2198" s="327"/>
      <c r="D2198" s="327"/>
      <c r="E2198" s="327"/>
      <c r="F2198" s="327"/>
      <c r="G2198" s="327"/>
      <c r="H2198" s="327"/>
      <c r="I2198" s="327"/>
      <c r="J2198" s="327"/>
      <c r="K2198" s="328"/>
      <c r="L2198" s="327"/>
      <c r="M2198" s="327"/>
      <c r="N2198" s="327"/>
    </row>
    <row r="2199" spans="1:14" x14ac:dyDescent="0.15">
      <c r="A2199" s="327"/>
      <c r="B2199" s="327"/>
      <c r="C2199" s="327"/>
      <c r="D2199" s="327"/>
      <c r="E2199" s="327"/>
      <c r="F2199" s="327"/>
      <c r="G2199" s="327"/>
      <c r="H2199" s="327"/>
      <c r="I2199" s="327"/>
      <c r="J2199" s="327"/>
      <c r="K2199" s="328"/>
      <c r="L2199" s="327"/>
      <c r="M2199" s="327"/>
      <c r="N2199" s="327"/>
    </row>
    <row r="2200" spans="1:14" x14ac:dyDescent="0.15">
      <c r="A2200" s="327"/>
      <c r="B2200" s="327"/>
      <c r="C2200" s="327"/>
      <c r="D2200" s="327"/>
      <c r="E2200" s="327"/>
      <c r="F2200" s="327"/>
      <c r="G2200" s="327"/>
      <c r="H2200" s="327"/>
      <c r="I2200" s="327"/>
      <c r="J2200" s="327"/>
      <c r="K2200" s="328"/>
      <c r="L2200" s="327"/>
      <c r="M2200" s="327"/>
      <c r="N2200" s="327"/>
    </row>
    <row r="2201" spans="1:14" x14ac:dyDescent="0.15">
      <c r="A2201" s="327"/>
      <c r="B2201" s="327"/>
      <c r="C2201" s="327"/>
      <c r="D2201" s="327"/>
      <c r="E2201" s="327"/>
      <c r="F2201" s="327"/>
      <c r="G2201" s="327"/>
      <c r="H2201" s="327"/>
      <c r="I2201" s="327"/>
      <c r="J2201" s="327"/>
      <c r="K2201" s="328"/>
      <c r="L2201" s="327"/>
      <c r="M2201" s="327"/>
      <c r="N2201" s="327"/>
    </row>
    <row r="2202" spans="1:14" x14ac:dyDescent="0.15">
      <c r="A2202" s="327"/>
      <c r="B2202" s="327"/>
      <c r="C2202" s="327"/>
      <c r="D2202" s="327"/>
      <c r="E2202" s="327"/>
      <c r="F2202" s="327"/>
      <c r="G2202" s="327"/>
      <c r="H2202" s="327"/>
      <c r="I2202" s="327"/>
      <c r="J2202" s="327"/>
      <c r="K2202" s="328"/>
      <c r="L2202" s="327"/>
      <c r="M2202" s="327"/>
      <c r="N2202" s="327"/>
    </row>
    <row r="2203" spans="1:14" x14ac:dyDescent="0.15">
      <c r="A2203" s="327"/>
      <c r="B2203" s="327"/>
      <c r="C2203" s="327"/>
      <c r="D2203" s="327"/>
      <c r="E2203" s="327"/>
      <c r="F2203" s="327"/>
      <c r="G2203" s="327"/>
      <c r="H2203" s="327"/>
      <c r="I2203" s="327"/>
      <c r="J2203" s="327"/>
      <c r="K2203" s="328"/>
      <c r="L2203" s="327"/>
      <c r="M2203" s="327"/>
      <c r="N2203" s="327"/>
    </row>
    <row r="2204" spans="1:14" x14ac:dyDescent="0.15">
      <c r="A2204" s="327"/>
      <c r="B2204" s="327"/>
      <c r="C2204" s="327"/>
      <c r="D2204" s="327"/>
      <c r="E2204" s="327"/>
      <c r="F2204" s="327"/>
      <c r="G2204" s="327"/>
      <c r="H2204" s="327"/>
      <c r="I2204" s="327"/>
      <c r="J2204" s="327"/>
      <c r="K2204" s="328"/>
      <c r="L2204" s="327"/>
      <c r="M2204" s="327"/>
      <c r="N2204" s="327"/>
    </row>
    <row r="2205" spans="1:14" x14ac:dyDescent="0.15">
      <c r="A2205" s="327"/>
      <c r="B2205" s="327"/>
      <c r="C2205" s="327"/>
      <c r="D2205" s="327"/>
      <c r="E2205" s="327"/>
      <c r="F2205" s="327"/>
      <c r="G2205" s="327"/>
      <c r="H2205" s="327"/>
      <c r="I2205" s="327"/>
      <c r="J2205" s="327"/>
      <c r="K2205" s="328"/>
      <c r="L2205" s="327"/>
      <c r="M2205" s="327"/>
      <c r="N2205" s="327"/>
    </row>
    <row r="2206" spans="1:14" x14ac:dyDescent="0.15">
      <c r="A2206" s="327"/>
      <c r="B2206" s="327"/>
      <c r="C2206" s="327"/>
      <c r="D2206" s="327"/>
      <c r="E2206" s="327"/>
      <c r="F2206" s="327"/>
      <c r="G2206" s="327"/>
      <c r="H2206" s="327"/>
      <c r="I2206" s="327"/>
      <c r="J2206" s="327"/>
      <c r="K2206" s="328"/>
      <c r="L2206" s="327"/>
      <c r="M2206" s="327"/>
      <c r="N2206" s="327"/>
    </row>
    <row r="2207" spans="1:14" x14ac:dyDescent="0.15">
      <c r="A2207" s="327"/>
      <c r="B2207" s="327"/>
      <c r="C2207" s="327"/>
      <c r="D2207" s="327"/>
      <c r="E2207" s="327"/>
      <c r="F2207" s="327"/>
      <c r="G2207" s="327"/>
      <c r="H2207" s="327"/>
      <c r="I2207" s="327"/>
      <c r="J2207" s="327"/>
      <c r="K2207" s="328"/>
      <c r="L2207" s="327"/>
      <c r="M2207" s="327"/>
      <c r="N2207" s="327"/>
    </row>
    <row r="2208" spans="1:14" x14ac:dyDescent="0.15">
      <c r="A2208" s="327"/>
      <c r="B2208" s="327"/>
      <c r="C2208" s="327"/>
      <c r="D2208" s="327"/>
      <c r="E2208" s="327"/>
      <c r="F2208" s="327"/>
      <c r="G2208" s="327"/>
      <c r="H2208" s="327"/>
      <c r="I2208" s="327"/>
      <c r="J2208" s="327"/>
      <c r="K2208" s="328"/>
      <c r="L2208" s="327"/>
      <c r="M2208" s="327"/>
      <c r="N2208" s="327"/>
    </row>
    <row r="2209" spans="1:14" x14ac:dyDescent="0.15">
      <c r="A2209" s="327"/>
      <c r="B2209" s="327"/>
      <c r="C2209" s="327"/>
      <c r="D2209" s="327"/>
      <c r="E2209" s="327"/>
      <c r="F2209" s="327"/>
      <c r="G2209" s="327"/>
      <c r="H2209" s="327"/>
      <c r="I2209" s="327"/>
      <c r="J2209" s="327"/>
      <c r="K2209" s="328"/>
      <c r="L2209" s="327"/>
      <c r="M2209" s="327"/>
      <c r="N2209" s="327"/>
    </row>
    <row r="2210" spans="1:14" x14ac:dyDescent="0.15">
      <c r="A2210" s="327"/>
      <c r="B2210" s="327"/>
      <c r="C2210" s="327"/>
      <c r="D2210" s="327"/>
      <c r="E2210" s="327"/>
      <c r="F2210" s="327"/>
      <c r="G2210" s="327"/>
      <c r="H2210" s="327"/>
      <c r="I2210" s="327"/>
      <c r="J2210" s="327"/>
      <c r="K2210" s="328"/>
      <c r="L2210" s="327"/>
      <c r="M2210" s="327"/>
      <c r="N2210" s="327"/>
    </row>
    <row r="2211" spans="1:14" x14ac:dyDescent="0.15">
      <c r="A2211" s="327"/>
      <c r="B2211" s="327"/>
      <c r="C2211" s="327"/>
      <c r="D2211" s="327"/>
      <c r="E2211" s="327"/>
      <c r="F2211" s="327"/>
      <c r="G2211" s="327"/>
      <c r="H2211" s="327"/>
      <c r="I2211" s="327"/>
      <c r="J2211" s="327"/>
      <c r="K2211" s="328"/>
      <c r="L2211" s="327"/>
      <c r="M2211" s="327"/>
      <c r="N2211" s="327"/>
    </row>
    <row r="2212" spans="1:14" x14ac:dyDescent="0.15">
      <c r="A2212" s="327"/>
      <c r="B2212" s="327"/>
      <c r="C2212" s="327"/>
      <c r="D2212" s="327"/>
      <c r="E2212" s="327"/>
      <c r="F2212" s="327"/>
      <c r="G2212" s="327"/>
      <c r="H2212" s="327"/>
      <c r="I2212" s="327"/>
      <c r="J2212" s="327"/>
      <c r="K2212" s="328"/>
      <c r="L2212" s="327"/>
      <c r="M2212" s="327"/>
      <c r="N2212" s="327"/>
    </row>
    <row r="2213" spans="1:14" x14ac:dyDescent="0.15">
      <c r="A2213" s="327"/>
      <c r="B2213" s="327"/>
      <c r="C2213" s="327"/>
      <c r="D2213" s="327"/>
      <c r="E2213" s="327"/>
      <c r="F2213" s="327"/>
      <c r="G2213" s="327"/>
      <c r="H2213" s="327"/>
      <c r="I2213" s="327"/>
      <c r="J2213" s="327"/>
      <c r="K2213" s="328"/>
      <c r="L2213" s="327"/>
      <c r="M2213" s="327"/>
      <c r="N2213" s="327"/>
    </row>
    <row r="2214" spans="1:14" x14ac:dyDescent="0.15">
      <c r="A2214" s="327"/>
      <c r="B2214" s="327"/>
      <c r="C2214" s="327"/>
      <c r="D2214" s="327"/>
      <c r="E2214" s="327"/>
      <c r="F2214" s="327"/>
      <c r="G2214" s="327"/>
      <c r="H2214" s="327"/>
      <c r="I2214" s="327"/>
      <c r="J2214" s="327"/>
      <c r="K2214" s="328"/>
      <c r="L2214" s="327"/>
      <c r="M2214" s="327"/>
      <c r="N2214" s="327"/>
    </row>
    <row r="2215" spans="1:14" x14ac:dyDescent="0.15">
      <c r="A2215" s="327"/>
      <c r="B2215" s="327"/>
      <c r="C2215" s="327"/>
      <c r="D2215" s="327"/>
      <c r="E2215" s="327"/>
      <c r="F2215" s="327"/>
      <c r="G2215" s="327"/>
      <c r="H2215" s="327"/>
      <c r="I2215" s="327"/>
      <c r="J2215" s="327"/>
      <c r="K2215" s="328"/>
      <c r="L2215" s="327"/>
      <c r="M2215" s="327"/>
      <c r="N2215" s="327"/>
    </row>
    <row r="2216" spans="1:14" x14ac:dyDescent="0.15">
      <c r="A2216" s="327"/>
      <c r="B2216" s="327"/>
      <c r="C2216" s="327"/>
      <c r="D2216" s="327"/>
      <c r="E2216" s="327"/>
      <c r="F2216" s="327"/>
      <c r="G2216" s="327"/>
      <c r="H2216" s="327"/>
      <c r="I2216" s="327"/>
      <c r="J2216" s="327"/>
      <c r="K2216" s="328"/>
      <c r="L2216" s="327"/>
      <c r="M2216" s="327"/>
      <c r="N2216" s="327"/>
    </row>
    <row r="2217" spans="1:14" x14ac:dyDescent="0.15">
      <c r="A2217" s="327"/>
      <c r="B2217" s="327"/>
      <c r="C2217" s="327"/>
      <c r="D2217" s="327"/>
      <c r="E2217" s="327"/>
      <c r="F2217" s="327"/>
      <c r="G2217" s="327"/>
      <c r="H2217" s="327"/>
      <c r="I2217" s="327"/>
      <c r="J2217" s="327"/>
      <c r="K2217" s="328"/>
      <c r="L2217" s="327"/>
      <c r="M2217" s="327"/>
      <c r="N2217" s="327"/>
    </row>
    <row r="2218" spans="1:14" x14ac:dyDescent="0.15">
      <c r="A2218" s="327"/>
      <c r="B2218" s="327"/>
      <c r="C2218" s="327"/>
      <c r="D2218" s="327"/>
      <c r="E2218" s="327"/>
      <c r="F2218" s="327"/>
      <c r="G2218" s="327"/>
      <c r="H2218" s="327"/>
      <c r="I2218" s="327"/>
      <c r="J2218" s="327"/>
      <c r="K2218" s="328"/>
      <c r="L2218" s="327"/>
      <c r="M2218" s="327"/>
      <c r="N2218" s="327"/>
    </row>
    <row r="2219" spans="1:14" x14ac:dyDescent="0.15">
      <c r="A2219" s="327"/>
      <c r="B2219" s="327"/>
      <c r="C2219" s="327"/>
      <c r="D2219" s="327"/>
      <c r="E2219" s="327"/>
      <c r="F2219" s="327"/>
      <c r="G2219" s="327"/>
      <c r="H2219" s="327"/>
      <c r="I2219" s="327"/>
      <c r="J2219" s="327"/>
      <c r="K2219" s="328"/>
      <c r="L2219" s="327"/>
      <c r="M2219" s="327"/>
      <c r="N2219" s="327"/>
    </row>
    <row r="2220" spans="1:14" x14ac:dyDescent="0.15">
      <c r="A2220" s="327"/>
      <c r="B2220" s="327"/>
      <c r="C2220" s="327"/>
      <c r="D2220" s="327"/>
      <c r="E2220" s="327"/>
      <c r="F2220" s="327"/>
      <c r="G2220" s="327"/>
      <c r="H2220" s="327"/>
      <c r="I2220" s="327"/>
      <c r="J2220" s="327"/>
      <c r="K2220" s="328"/>
      <c r="L2220" s="327"/>
      <c r="M2220" s="327"/>
      <c r="N2220" s="327"/>
    </row>
    <row r="2221" spans="1:14" x14ac:dyDescent="0.15">
      <c r="A2221" s="327"/>
      <c r="B2221" s="327"/>
      <c r="C2221" s="327"/>
      <c r="D2221" s="327"/>
      <c r="E2221" s="327"/>
      <c r="F2221" s="327"/>
      <c r="G2221" s="327"/>
      <c r="H2221" s="327"/>
      <c r="I2221" s="327"/>
      <c r="J2221" s="327"/>
      <c r="K2221" s="328"/>
      <c r="L2221" s="327"/>
      <c r="M2221" s="327"/>
      <c r="N2221" s="327"/>
    </row>
    <row r="2222" spans="1:14" x14ac:dyDescent="0.15">
      <c r="A2222" s="327"/>
      <c r="B2222" s="327"/>
      <c r="C2222" s="327"/>
      <c r="D2222" s="327"/>
      <c r="E2222" s="327"/>
      <c r="F2222" s="327"/>
      <c r="G2222" s="327"/>
      <c r="H2222" s="327"/>
      <c r="I2222" s="327"/>
      <c r="J2222" s="327"/>
      <c r="K2222" s="328"/>
      <c r="L2222" s="327"/>
      <c r="M2222" s="327"/>
      <c r="N2222" s="327"/>
    </row>
    <row r="2223" spans="1:14" x14ac:dyDescent="0.15">
      <c r="A2223" s="327"/>
      <c r="B2223" s="327"/>
      <c r="C2223" s="327"/>
      <c r="D2223" s="327"/>
      <c r="E2223" s="327"/>
      <c r="F2223" s="327"/>
      <c r="G2223" s="327"/>
      <c r="H2223" s="327"/>
      <c r="I2223" s="327"/>
      <c r="J2223" s="327"/>
      <c r="K2223" s="328"/>
      <c r="L2223" s="327"/>
      <c r="M2223" s="327"/>
      <c r="N2223" s="327"/>
    </row>
    <row r="2224" spans="1:14" x14ac:dyDescent="0.15">
      <c r="A2224" s="327"/>
      <c r="B2224" s="327"/>
      <c r="C2224" s="327"/>
      <c r="D2224" s="327"/>
      <c r="E2224" s="327"/>
      <c r="F2224" s="327"/>
      <c r="G2224" s="327"/>
      <c r="H2224" s="327"/>
      <c r="I2224" s="327"/>
      <c r="J2224" s="327"/>
      <c r="K2224" s="328"/>
      <c r="L2224" s="327"/>
      <c r="M2224" s="327"/>
      <c r="N2224" s="327"/>
    </row>
    <row r="2225" spans="1:14" x14ac:dyDescent="0.15">
      <c r="A2225" s="327"/>
      <c r="B2225" s="327"/>
      <c r="C2225" s="327"/>
      <c r="D2225" s="327"/>
      <c r="E2225" s="327"/>
      <c r="F2225" s="327"/>
      <c r="G2225" s="327"/>
      <c r="H2225" s="327"/>
      <c r="I2225" s="327"/>
      <c r="J2225" s="327"/>
      <c r="K2225" s="328"/>
      <c r="L2225" s="327"/>
      <c r="M2225" s="327"/>
      <c r="N2225" s="327"/>
    </row>
    <row r="2226" spans="1:14" x14ac:dyDescent="0.15">
      <c r="A2226" s="327"/>
      <c r="B2226" s="327"/>
      <c r="C2226" s="327"/>
      <c r="D2226" s="327"/>
      <c r="E2226" s="327"/>
      <c r="F2226" s="327"/>
      <c r="G2226" s="327"/>
      <c r="H2226" s="327"/>
      <c r="I2226" s="327"/>
      <c r="J2226" s="327"/>
      <c r="K2226" s="328"/>
      <c r="L2226" s="327"/>
      <c r="M2226" s="327"/>
      <c r="N2226" s="327"/>
    </row>
    <row r="2227" spans="1:14" x14ac:dyDescent="0.15">
      <c r="A2227" s="327"/>
      <c r="B2227" s="327"/>
      <c r="C2227" s="327"/>
      <c r="D2227" s="327"/>
      <c r="E2227" s="327"/>
      <c r="F2227" s="327"/>
      <c r="G2227" s="327"/>
      <c r="H2227" s="327"/>
      <c r="I2227" s="327"/>
      <c r="J2227" s="327"/>
      <c r="K2227" s="328"/>
      <c r="L2227" s="327"/>
      <c r="M2227" s="327"/>
      <c r="N2227" s="327"/>
    </row>
    <row r="2228" spans="1:14" x14ac:dyDescent="0.15">
      <c r="A2228" s="327"/>
      <c r="B2228" s="327"/>
      <c r="C2228" s="327"/>
      <c r="D2228" s="327"/>
      <c r="E2228" s="327"/>
      <c r="F2228" s="327"/>
      <c r="G2228" s="327"/>
      <c r="H2228" s="327"/>
      <c r="I2228" s="327"/>
      <c r="J2228" s="327"/>
      <c r="K2228" s="328"/>
      <c r="L2228" s="327"/>
      <c r="M2228" s="327"/>
      <c r="N2228" s="327"/>
    </row>
    <row r="2229" spans="1:14" x14ac:dyDescent="0.15">
      <c r="A2229" s="327"/>
      <c r="B2229" s="327"/>
      <c r="C2229" s="327"/>
      <c r="D2229" s="327"/>
      <c r="E2229" s="327"/>
      <c r="F2229" s="327"/>
      <c r="G2229" s="327"/>
      <c r="H2229" s="327"/>
      <c r="I2229" s="327"/>
      <c r="J2229" s="327"/>
      <c r="K2229" s="328"/>
      <c r="L2229" s="327"/>
      <c r="M2229" s="327"/>
      <c r="N2229" s="327"/>
    </row>
    <row r="2230" spans="1:14" x14ac:dyDescent="0.15">
      <c r="A2230" s="327"/>
      <c r="B2230" s="327"/>
      <c r="C2230" s="327"/>
      <c r="D2230" s="327"/>
      <c r="E2230" s="327"/>
      <c r="F2230" s="327"/>
      <c r="G2230" s="327"/>
      <c r="H2230" s="327"/>
      <c r="I2230" s="327"/>
      <c r="J2230" s="327"/>
      <c r="K2230" s="328"/>
      <c r="L2230" s="327"/>
      <c r="M2230" s="327"/>
      <c r="N2230" s="327"/>
    </row>
    <row r="2231" spans="1:14" x14ac:dyDescent="0.15">
      <c r="A2231" s="327"/>
      <c r="B2231" s="327"/>
      <c r="C2231" s="327"/>
      <c r="D2231" s="327"/>
      <c r="E2231" s="327"/>
      <c r="F2231" s="327"/>
      <c r="G2231" s="327"/>
      <c r="H2231" s="327"/>
      <c r="I2231" s="327"/>
      <c r="J2231" s="327"/>
      <c r="K2231" s="328"/>
      <c r="L2231" s="327"/>
      <c r="M2231" s="327"/>
      <c r="N2231" s="327"/>
    </row>
    <row r="2232" spans="1:14" x14ac:dyDescent="0.15">
      <c r="A2232" s="327"/>
      <c r="B2232" s="327"/>
      <c r="C2232" s="327"/>
      <c r="D2232" s="327"/>
      <c r="E2232" s="327"/>
      <c r="F2232" s="327"/>
      <c r="G2232" s="327"/>
      <c r="H2232" s="327"/>
      <c r="I2232" s="327"/>
      <c r="J2232" s="327"/>
      <c r="K2232" s="328"/>
      <c r="L2232" s="327"/>
      <c r="M2232" s="327"/>
      <c r="N2232" s="327"/>
    </row>
    <row r="2233" spans="1:14" x14ac:dyDescent="0.15">
      <c r="A2233" s="327"/>
      <c r="B2233" s="327"/>
      <c r="C2233" s="327"/>
      <c r="D2233" s="327"/>
      <c r="E2233" s="327"/>
      <c r="F2233" s="327"/>
      <c r="G2233" s="327"/>
      <c r="H2233" s="327"/>
      <c r="I2233" s="327"/>
      <c r="J2233" s="327"/>
      <c r="K2233" s="328"/>
      <c r="L2233" s="327"/>
      <c r="M2233" s="327"/>
      <c r="N2233" s="327"/>
    </row>
    <row r="2234" spans="1:14" x14ac:dyDescent="0.15">
      <c r="A2234" s="327"/>
      <c r="B2234" s="327"/>
      <c r="C2234" s="327"/>
      <c r="D2234" s="327"/>
      <c r="E2234" s="327"/>
      <c r="F2234" s="327"/>
      <c r="G2234" s="327"/>
      <c r="H2234" s="327"/>
      <c r="I2234" s="327"/>
      <c r="J2234" s="327"/>
      <c r="K2234" s="328"/>
      <c r="L2234" s="327"/>
      <c r="M2234" s="327"/>
      <c r="N2234" s="327"/>
    </row>
    <row r="2235" spans="1:14" x14ac:dyDescent="0.15">
      <c r="A2235" s="327"/>
      <c r="B2235" s="327"/>
      <c r="C2235" s="327"/>
      <c r="D2235" s="327"/>
      <c r="E2235" s="327"/>
      <c r="F2235" s="327"/>
      <c r="G2235" s="327"/>
      <c r="H2235" s="327"/>
      <c r="I2235" s="327"/>
      <c r="J2235" s="327"/>
      <c r="K2235" s="328"/>
      <c r="L2235" s="327"/>
      <c r="M2235" s="327"/>
      <c r="N2235" s="327"/>
    </row>
    <row r="2236" spans="1:14" x14ac:dyDescent="0.15">
      <c r="A2236" s="327"/>
      <c r="B2236" s="327"/>
      <c r="C2236" s="327"/>
      <c r="D2236" s="327"/>
      <c r="E2236" s="327"/>
      <c r="F2236" s="327"/>
      <c r="G2236" s="327"/>
      <c r="H2236" s="327"/>
      <c r="I2236" s="327"/>
      <c r="J2236" s="327"/>
      <c r="K2236" s="328"/>
      <c r="L2236" s="327"/>
      <c r="M2236" s="327"/>
      <c r="N2236" s="327"/>
    </row>
    <row r="2237" spans="1:14" x14ac:dyDescent="0.15">
      <c r="A2237" s="327"/>
      <c r="B2237" s="327"/>
      <c r="C2237" s="327"/>
      <c r="D2237" s="327"/>
      <c r="E2237" s="327"/>
      <c r="F2237" s="327"/>
      <c r="G2237" s="327"/>
      <c r="H2237" s="327"/>
      <c r="I2237" s="327"/>
      <c r="J2237" s="327"/>
      <c r="K2237" s="328"/>
      <c r="L2237" s="327"/>
      <c r="M2237" s="327"/>
      <c r="N2237" s="327"/>
    </row>
    <row r="2238" spans="1:14" x14ac:dyDescent="0.15">
      <c r="A2238" s="327"/>
      <c r="B2238" s="327"/>
      <c r="C2238" s="327"/>
      <c r="D2238" s="327"/>
      <c r="E2238" s="327"/>
      <c r="F2238" s="327"/>
      <c r="G2238" s="327"/>
      <c r="H2238" s="327"/>
      <c r="I2238" s="327"/>
      <c r="J2238" s="327"/>
      <c r="K2238" s="328"/>
      <c r="L2238" s="327"/>
      <c r="M2238" s="327"/>
      <c r="N2238" s="327"/>
    </row>
    <row r="2239" spans="1:14" x14ac:dyDescent="0.15">
      <c r="A2239" s="327"/>
      <c r="B2239" s="327"/>
      <c r="C2239" s="327"/>
      <c r="D2239" s="327"/>
      <c r="E2239" s="327"/>
      <c r="F2239" s="327"/>
      <c r="G2239" s="327"/>
      <c r="H2239" s="327"/>
      <c r="I2239" s="327"/>
      <c r="J2239" s="327"/>
      <c r="K2239" s="328"/>
      <c r="L2239" s="327"/>
      <c r="M2239" s="327"/>
      <c r="N2239" s="327"/>
    </row>
    <row r="2240" spans="1:14" x14ac:dyDescent="0.15">
      <c r="A2240" s="327"/>
      <c r="B2240" s="327"/>
      <c r="C2240" s="327"/>
      <c r="D2240" s="327"/>
      <c r="E2240" s="327"/>
      <c r="F2240" s="327"/>
      <c r="G2240" s="327"/>
      <c r="H2240" s="327"/>
      <c r="I2240" s="327"/>
      <c r="J2240" s="327"/>
      <c r="K2240" s="328"/>
      <c r="L2240" s="327"/>
      <c r="M2240" s="327"/>
      <c r="N2240" s="327"/>
    </row>
    <row r="2241" spans="1:14" x14ac:dyDescent="0.15">
      <c r="A2241" s="327"/>
      <c r="B2241" s="327"/>
      <c r="C2241" s="327"/>
      <c r="D2241" s="327"/>
      <c r="E2241" s="327"/>
      <c r="F2241" s="327"/>
      <c r="G2241" s="327"/>
      <c r="H2241" s="327"/>
      <c r="I2241" s="327"/>
      <c r="J2241" s="327"/>
      <c r="K2241" s="328"/>
      <c r="L2241" s="327"/>
      <c r="M2241" s="327"/>
      <c r="N2241" s="327"/>
    </row>
    <row r="2242" spans="1:14" x14ac:dyDescent="0.15">
      <c r="A2242" s="327"/>
      <c r="B2242" s="327"/>
      <c r="C2242" s="327"/>
      <c r="D2242" s="327"/>
      <c r="E2242" s="327"/>
      <c r="F2242" s="327"/>
      <c r="G2242" s="327"/>
      <c r="H2242" s="327"/>
      <c r="I2242" s="327"/>
      <c r="J2242" s="327"/>
      <c r="K2242" s="328"/>
      <c r="L2242" s="327"/>
      <c r="M2242" s="327"/>
      <c r="N2242" s="327"/>
    </row>
    <row r="2243" spans="1:14" x14ac:dyDescent="0.15">
      <c r="A2243" s="327"/>
      <c r="B2243" s="327"/>
      <c r="C2243" s="327"/>
      <c r="D2243" s="327"/>
      <c r="E2243" s="327"/>
      <c r="F2243" s="327"/>
      <c r="G2243" s="327"/>
      <c r="H2243" s="327"/>
      <c r="I2243" s="327"/>
      <c r="J2243" s="327"/>
      <c r="K2243" s="328"/>
      <c r="L2243" s="327"/>
      <c r="M2243" s="327"/>
      <c r="N2243" s="327"/>
    </row>
    <row r="2244" spans="1:14" x14ac:dyDescent="0.15">
      <c r="A2244" s="327"/>
      <c r="B2244" s="327"/>
      <c r="C2244" s="327"/>
      <c r="D2244" s="327"/>
      <c r="E2244" s="327"/>
      <c r="F2244" s="327"/>
      <c r="G2244" s="327"/>
      <c r="H2244" s="327"/>
      <c r="I2244" s="327"/>
      <c r="J2244" s="327"/>
      <c r="K2244" s="328"/>
      <c r="L2244" s="327"/>
      <c r="M2244" s="327"/>
      <c r="N2244" s="327"/>
    </row>
    <row r="2245" spans="1:14" x14ac:dyDescent="0.15">
      <c r="A2245" s="327"/>
      <c r="B2245" s="327"/>
      <c r="C2245" s="327"/>
      <c r="D2245" s="327"/>
      <c r="E2245" s="327"/>
      <c r="F2245" s="327"/>
      <c r="G2245" s="327"/>
      <c r="H2245" s="327"/>
      <c r="I2245" s="327"/>
      <c r="J2245" s="327"/>
      <c r="K2245" s="328"/>
      <c r="L2245" s="327"/>
      <c r="M2245" s="327"/>
      <c r="N2245" s="327"/>
    </row>
    <row r="2246" spans="1:14" x14ac:dyDescent="0.15">
      <c r="A2246" s="327"/>
      <c r="B2246" s="327"/>
      <c r="C2246" s="327"/>
      <c r="D2246" s="327"/>
      <c r="E2246" s="327"/>
      <c r="F2246" s="327"/>
      <c r="G2246" s="327"/>
      <c r="H2246" s="327"/>
      <c r="I2246" s="327"/>
      <c r="J2246" s="327"/>
      <c r="K2246" s="328"/>
      <c r="L2246" s="327"/>
      <c r="M2246" s="327"/>
      <c r="N2246" s="327"/>
    </row>
    <row r="2247" spans="1:14" x14ac:dyDescent="0.15">
      <c r="A2247" s="327"/>
      <c r="B2247" s="327"/>
      <c r="C2247" s="327"/>
      <c r="D2247" s="327"/>
      <c r="E2247" s="327"/>
      <c r="F2247" s="327"/>
      <c r="G2247" s="327"/>
      <c r="H2247" s="327"/>
      <c r="I2247" s="327"/>
      <c r="J2247" s="327"/>
      <c r="K2247" s="328"/>
      <c r="L2247" s="327"/>
      <c r="M2247" s="327"/>
      <c r="N2247" s="327"/>
    </row>
    <row r="2248" spans="1:14" x14ac:dyDescent="0.15">
      <c r="A2248" s="327"/>
      <c r="B2248" s="327"/>
      <c r="C2248" s="327"/>
      <c r="D2248" s="327"/>
      <c r="E2248" s="327"/>
      <c r="F2248" s="327"/>
      <c r="G2248" s="327"/>
      <c r="H2248" s="327"/>
      <c r="I2248" s="327"/>
      <c r="J2248" s="327"/>
      <c r="K2248" s="328"/>
      <c r="L2248" s="327"/>
      <c r="M2248" s="327"/>
      <c r="N2248" s="327"/>
    </row>
    <row r="2249" spans="1:14" x14ac:dyDescent="0.15">
      <c r="A2249" s="327"/>
      <c r="B2249" s="327"/>
      <c r="C2249" s="327"/>
      <c r="D2249" s="327"/>
      <c r="E2249" s="327"/>
      <c r="F2249" s="327"/>
      <c r="G2249" s="327"/>
      <c r="H2249" s="327"/>
      <c r="I2249" s="327"/>
      <c r="J2249" s="327"/>
      <c r="K2249" s="328"/>
      <c r="L2249" s="327"/>
      <c r="M2249" s="327"/>
      <c r="N2249" s="327"/>
    </row>
    <row r="2250" spans="1:14" x14ac:dyDescent="0.15">
      <c r="A2250" s="327"/>
      <c r="B2250" s="327"/>
      <c r="C2250" s="327"/>
      <c r="D2250" s="327"/>
      <c r="E2250" s="327"/>
      <c r="F2250" s="327"/>
      <c r="G2250" s="327"/>
      <c r="H2250" s="327"/>
      <c r="I2250" s="327"/>
      <c r="J2250" s="327"/>
      <c r="K2250" s="328"/>
      <c r="L2250" s="327"/>
      <c r="M2250" s="327"/>
      <c r="N2250" s="327"/>
    </row>
    <row r="2251" spans="1:14" x14ac:dyDescent="0.15">
      <c r="A2251" s="327"/>
      <c r="B2251" s="327"/>
      <c r="C2251" s="327"/>
      <c r="D2251" s="327"/>
      <c r="E2251" s="327"/>
      <c r="F2251" s="327"/>
      <c r="G2251" s="327"/>
      <c r="H2251" s="327"/>
      <c r="I2251" s="327"/>
      <c r="J2251" s="327"/>
      <c r="K2251" s="328"/>
      <c r="L2251" s="327"/>
      <c r="M2251" s="327"/>
      <c r="N2251" s="327"/>
    </row>
    <row r="2252" spans="1:14" x14ac:dyDescent="0.15">
      <c r="A2252" s="327"/>
      <c r="B2252" s="327"/>
      <c r="C2252" s="327"/>
      <c r="D2252" s="327"/>
      <c r="E2252" s="327"/>
      <c r="F2252" s="327"/>
      <c r="G2252" s="327"/>
      <c r="H2252" s="327"/>
      <c r="I2252" s="327"/>
      <c r="J2252" s="327"/>
      <c r="K2252" s="328"/>
      <c r="L2252" s="327"/>
      <c r="M2252" s="327"/>
      <c r="N2252" s="327"/>
    </row>
    <row r="2253" spans="1:14" x14ac:dyDescent="0.15">
      <c r="A2253" s="327"/>
      <c r="B2253" s="327"/>
      <c r="C2253" s="327"/>
      <c r="D2253" s="327"/>
      <c r="E2253" s="327"/>
      <c r="F2253" s="327"/>
      <c r="G2253" s="327"/>
      <c r="H2253" s="327"/>
      <c r="I2253" s="327"/>
      <c r="J2253" s="327"/>
      <c r="K2253" s="328"/>
      <c r="L2253" s="327"/>
      <c r="M2253" s="327"/>
      <c r="N2253" s="327"/>
    </row>
    <row r="2254" spans="1:14" x14ac:dyDescent="0.15">
      <c r="A2254" s="327"/>
      <c r="B2254" s="327"/>
      <c r="C2254" s="327"/>
      <c r="D2254" s="327"/>
      <c r="E2254" s="327"/>
      <c r="F2254" s="327"/>
      <c r="G2254" s="327"/>
      <c r="H2254" s="327"/>
      <c r="I2254" s="327"/>
      <c r="J2254" s="327"/>
      <c r="K2254" s="328"/>
      <c r="L2254" s="327"/>
      <c r="M2254" s="327"/>
      <c r="N2254" s="327"/>
    </row>
    <row r="2255" spans="1:14" x14ac:dyDescent="0.15">
      <c r="A2255" s="327"/>
      <c r="B2255" s="327"/>
      <c r="C2255" s="327"/>
      <c r="D2255" s="327"/>
      <c r="E2255" s="327"/>
      <c r="F2255" s="327"/>
      <c r="G2255" s="327"/>
      <c r="H2255" s="327"/>
      <c r="I2255" s="327"/>
      <c r="J2255" s="327"/>
      <c r="K2255" s="328"/>
      <c r="L2255" s="327"/>
      <c r="M2255" s="327"/>
      <c r="N2255" s="327"/>
    </row>
    <row r="2256" spans="1:14" x14ac:dyDescent="0.15">
      <c r="A2256" s="327"/>
      <c r="B2256" s="327"/>
      <c r="C2256" s="327"/>
      <c r="D2256" s="327"/>
      <c r="E2256" s="327"/>
      <c r="F2256" s="327"/>
      <c r="G2256" s="327"/>
      <c r="H2256" s="327"/>
      <c r="I2256" s="327"/>
      <c r="J2256" s="327"/>
      <c r="K2256" s="328"/>
      <c r="L2256" s="327"/>
      <c r="M2256" s="327"/>
      <c r="N2256" s="327"/>
    </row>
    <row r="2257" spans="1:14" x14ac:dyDescent="0.15">
      <c r="A2257" s="327"/>
      <c r="B2257" s="327"/>
      <c r="C2257" s="327"/>
      <c r="D2257" s="327"/>
      <c r="E2257" s="327"/>
      <c r="F2257" s="327"/>
      <c r="G2257" s="327"/>
      <c r="H2257" s="327"/>
      <c r="I2257" s="327"/>
      <c r="J2257" s="327"/>
      <c r="K2257" s="328"/>
      <c r="L2257" s="327"/>
      <c r="M2257" s="327"/>
      <c r="N2257" s="327"/>
    </row>
    <row r="2258" spans="1:14" x14ac:dyDescent="0.15">
      <c r="A2258" s="327"/>
      <c r="B2258" s="327"/>
      <c r="C2258" s="327"/>
      <c r="D2258" s="327"/>
      <c r="E2258" s="327"/>
      <c r="F2258" s="327"/>
      <c r="G2258" s="327"/>
      <c r="H2258" s="327"/>
      <c r="I2258" s="327"/>
      <c r="J2258" s="327"/>
      <c r="K2258" s="328"/>
      <c r="L2258" s="327"/>
      <c r="M2258" s="327"/>
      <c r="N2258" s="327"/>
    </row>
    <row r="2259" spans="1:14" x14ac:dyDescent="0.15">
      <c r="A2259" s="327"/>
      <c r="B2259" s="327"/>
      <c r="C2259" s="327"/>
      <c r="D2259" s="327"/>
      <c r="E2259" s="327"/>
      <c r="F2259" s="327"/>
      <c r="G2259" s="327"/>
      <c r="H2259" s="327"/>
      <c r="I2259" s="327"/>
      <c r="J2259" s="327"/>
      <c r="K2259" s="328"/>
      <c r="L2259" s="327"/>
      <c r="M2259" s="327"/>
      <c r="N2259" s="327"/>
    </row>
    <row r="2260" spans="1:14" x14ac:dyDescent="0.15">
      <c r="A2260" s="327"/>
      <c r="B2260" s="327"/>
      <c r="C2260" s="327"/>
      <c r="D2260" s="327"/>
      <c r="E2260" s="327"/>
      <c r="F2260" s="327"/>
      <c r="G2260" s="327"/>
      <c r="H2260" s="327"/>
      <c r="I2260" s="327"/>
      <c r="J2260" s="327"/>
      <c r="K2260" s="328"/>
      <c r="L2260" s="327"/>
      <c r="M2260" s="327"/>
      <c r="N2260" s="327"/>
    </row>
    <row r="2261" spans="1:14" x14ac:dyDescent="0.15">
      <c r="A2261" s="327"/>
      <c r="B2261" s="327"/>
      <c r="C2261" s="327"/>
      <c r="D2261" s="327"/>
      <c r="E2261" s="327"/>
      <c r="F2261" s="327"/>
      <c r="G2261" s="327"/>
      <c r="H2261" s="327"/>
      <c r="I2261" s="327"/>
      <c r="J2261" s="327"/>
      <c r="K2261" s="328"/>
      <c r="L2261" s="327"/>
      <c r="M2261" s="327"/>
      <c r="N2261" s="327"/>
    </row>
    <row r="2262" spans="1:14" x14ac:dyDescent="0.15">
      <c r="A2262" s="327"/>
      <c r="B2262" s="327"/>
      <c r="C2262" s="327"/>
      <c r="D2262" s="327"/>
      <c r="E2262" s="327"/>
      <c r="F2262" s="327"/>
      <c r="G2262" s="327"/>
      <c r="H2262" s="327"/>
      <c r="I2262" s="327"/>
      <c r="J2262" s="327"/>
      <c r="K2262" s="328"/>
      <c r="L2262" s="327"/>
      <c r="M2262" s="327"/>
      <c r="N2262" s="327"/>
    </row>
    <row r="2263" spans="1:14" x14ac:dyDescent="0.15">
      <c r="A2263" s="327"/>
      <c r="B2263" s="327"/>
      <c r="C2263" s="327"/>
      <c r="D2263" s="327"/>
      <c r="E2263" s="327"/>
      <c r="F2263" s="327"/>
      <c r="G2263" s="327"/>
      <c r="H2263" s="327"/>
      <c r="I2263" s="327"/>
      <c r="J2263" s="327"/>
      <c r="K2263" s="328"/>
      <c r="L2263" s="327"/>
      <c r="M2263" s="327"/>
      <c r="N2263" s="327"/>
    </row>
    <row r="2264" spans="1:14" x14ac:dyDescent="0.15">
      <c r="A2264" s="327"/>
      <c r="B2264" s="327"/>
      <c r="C2264" s="327"/>
      <c r="D2264" s="327"/>
      <c r="E2264" s="327"/>
      <c r="F2264" s="327"/>
      <c r="G2264" s="327"/>
      <c r="H2264" s="327"/>
      <c r="I2264" s="327"/>
      <c r="J2264" s="327"/>
      <c r="K2264" s="328"/>
      <c r="L2264" s="327"/>
      <c r="M2264" s="327"/>
      <c r="N2264" s="327"/>
    </row>
    <row r="2265" spans="1:14" x14ac:dyDescent="0.15">
      <c r="A2265" s="327"/>
      <c r="B2265" s="327"/>
      <c r="C2265" s="327"/>
      <c r="D2265" s="327"/>
      <c r="E2265" s="327"/>
      <c r="F2265" s="327"/>
      <c r="G2265" s="327"/>
      <c r="H2265" s="327"/>
      <c r="I2265" s="327"/>
      <c r="J2265" s="327"/>
      <c r="K2265" s="328"/>
      <c r="L2265" s="327"/>
      <c r="M2265" s="327"/>
      <c r="N2265" s="327"/>
    </row>
    <row r="2266" spans="1:14" x14ac:dyDescent="0.15">
      <c r="A2266" s="327"/>
      <c r="B2266" s="327"/>
      <c r="C2266" s="327"/>
      <c r="D2266" s="327"/>
      <c r="E2266" s="327"/>
      <c r="F2266" s="327"/>
      <c r="G2266" s="327"/>
      <c r="H2266" s="327"/>
      <c r="I2266" s="327"/>
      <c r="J2266" s="327"/>
      <c r="K2266" s="328"/>
      <c r="L2266" s="327"/>
      <c r="M2266" s="327"/>
      <c r="N2266" s="327"/>
    </row>
    <row r="2267" spans="1:14" x14ac:dyDescent="0.15">
      <c r="A2267" s="327"/>
      <c r="B2267" s="327"/>
      <c r="C2267" s="327"/>
      <c r="D2267" s="327"/>
      <c r="E2267" s="327"/>
      <c r="F2267" s="327"/>
      <c r="G2267" s="327"/>
      <c r="H2267" s="327"/>
      <c r="I2267" s="327"/>
      <c r="J2267" s="327"/>
      <c r="K2267" s="328"/>
      <c r="L2267" s="327"/>
      <c r="M2267" s="327"/>
      <c r="N2267" s="327"/>
    </row>
    <row r="2268" spans="1:14" x14ac:dyDescent="0.15">
      <c r="A2268" s="327"/>
      <c r="B2268" s="327"/>
      <c r="C2268" s="327"/>
      <c r="D2268" s="327"/>
      <c r="E2268" s="327"/>
      <c r="F2268" s="327"/>
      <c r="G2268" s="327"/>
      <c r="H2268" s="327"/>
      <c r="I2268" s="327"/>
      <c r="J2268" s="327"/>
      <c r="K2268" s="328"/>
      <c r="L2268" s="327"/>
      <c r="M2268" s="327"/>
      <c r="N2268" s="327"/>
    </row>
    <row r="2269" spans="1:14" x14ac:dyDescent="0.15">
      <c r="A2269" s="327"/>
      <c r="B2269" s="327"/>
      <c r="C2269" s="327"/>
      <c r="D2269" s="327"/>
      <c r="E2269" s="327"/>
      <c r="F2269" s="327"/>
      <c r="G2269" s="327"/>
      <c r="H2269" s="327"/>
      <c r="I2269" s="327"/>
      <c r="J2269" s="327"/>
      <c r="K2269" s="328"/>
      <c r="L2269" s="327"/>
      <c r="M2269" s="327"/>
      <c r="N2269" s="327"/>
    </row>
    <row r="2270" spans="1:14" x14ac:dyDescent="0.15">
      <c r="A2270" s="327"/>
      <c r="B2270" s="327"/>
      <c r="C2270" s="327"/>
      <c r="D2270" s="327"/>
      <c r="E2270" s="327"/>
      <c r="F2270" s="327"/>
      <c r="G2270" s="327"/>
      <c r="H2270" s="327"/>
      <c r="I2270" s="327"/>
      <c r="J2270" s="327"/>
      <c r="K2270" s="328"/>
      <c r="L2270" s="327"/>
      <c r="M2270" s="327"/>
      <c r="N2270" s="327"/>
    </row>
    <row r="2271" spans="1:14" x14ac:dyDescent="0.15">
      <c r="A2271" s="327"/>
      <c r="B2271" s="327"/>
      <c r="C2271" s="327"/>
      <c r="D2271" s="327"/>
      <c r="E2271" s="327"/>
      <c r="F2271" s="327"/>
      <c r="G2271" s="327"/>
      <c r="H2271" s="327"/>
      <c r="I2271" s="327"/>
      <c r="J2271" s="327"/>
      <c r="K2271" s="328"/>
      <c r="L2271" s="327"/>
      <c r="M2271" s="327"/>
      <c r="N2271" s="327"/>
    </row>
    <row r="2272" spans="1:14" x14ac:dyDescent="0.15">
      <c r="A2272" s="327"/>
      <c r="B2272" s="327"/>
      <c r="C2272" s="327"/>
      <c r="D2272" s="327"/>
      <c r="E2272" s="327"/>
      <c r="F2272" s="327"/>
      <c r="G2272" s="327"/>
      <c r="H2272" s="327"/>
      <c r="I2272" s="327"/>
      <c r="J2272" s="327"/>
      <c r="K2272" s="328"/>
      <c r="L2272" s="327"/>
      <c r="M2272" s="327"/>
      <c r="N2272" s="327"/>
    </row>
    <row r="2273" spans="1:14" x14ac:dyDescent="0.15">
      <c r="A2273" s="327"/>
      <c r="B2273" s="327"/>
      <c r="C2273" s="327"/>
      <c r="D2273" s="327"/>
      <c r="E2273" s="327"/>
      <c r="F2273" s="327"/>
      <c r="G2273" s="327"/>
      <c r="H2273" s="327"/>
      <c r="I2273" s="327"/>
      <c r="J2273" s="327"/>
      <c r="K2273" s="328"/>
      <c r="L2273" s="327"/>
      <c r="M2273" s="327"/>
      <c r="N2273" s="327"/>
    </row>
    <row r="2274" spans="1:14" x14ac:dyDescent="0.15">
      <c r="A2274" s="327"/>
      <c r="B2274" s="327"/>
      <c r="C2274" s="327"/>
      <c r="D2274" s="327"/>
      <c r="E2274" s="327"/>
      <c r="F2274" s="327"/>
      <c r="G2274" s="327"/>
      <c r="H2274" s="327"/>
      <c r="I2274" s="327"/>
      <c r="J2274" s="327"/>
      <c r="K2274" s="328"/>
      <c r="L2274" s="327"/>
      <c r="M2274" s="327"/>
      <c r="N2274" s="327"/>
    </row>
    <row r="2275" spans="1:14" x14ac:dyDescent="0.15">
      <c r="A2275" s="327"/>
      <c r="B2275" s="327"/>
      <c r="C2275" s="327"/>
      <c r="D2275" s="327"/>
      <c r="E2275" s="327"/>
      <c r="F2275" s="327"/>
      <c r="G2275" s="327"/>
      <c r="H2275" s="327"/>
      <c r="I2275" s="327"/>
      <c r="J2275" s="327"/>
      <c r="K2275" s="328"/>
      <c r="L2275" s="327"/>
      <c r="M2275" s="327"/>
      <c r="N2275" s="327"/>
    </row>
    <row r="2276" spans="1:14" x14ac:dyDescent="0.15">
      <c r="A2276" s="327"/>
      <c r="B2276" s="327"/>
      <c r="C2276" s="327"/>
      <c r="D2276" s="327"/>
      <c r="E2276" s="327"/>
      <c r="F2276" s="327"/>
      <c r="G2276" s="327"/>
      <c r="H2276" s="327"/>
      <c r="I2276" s="327"/>
      <c r="J2276" s="327"/>
      <c r="K2276" s="328"/>
      <c r="L2276" s="327"/>
      <c r="M2276" s="327"/>
      <c r="N2276" s="327"/>
    </row>
    <row r="2277" spans="1:14" x14ac:dyDescent="0.15">
      <c r="A2277" s="327"/>
      <c r="B2277" s="327"/>
      <c r="C2277" s="327"/>
      <c r="D2277" s="327"/>
      <c r="E2277" s="327"/>
      <c r="F2277" s="327"/>
      <c r="G2277" s="327"/>
      <c r="H2277" s="327"/>
      <c r="I2277" s="327"/>
      <c r="J2277" s="327"/>
      <c r="K2277" s="328"/>
      <c r="L2277" s="327"/>
      <c r="M2277" s="327"/>
      <c r="N2277" s="327"/>
    </row>
    <row r="2278" spans="1:14" x14ac:dyDescent="0.15">
      <c r="A2278" s="327"/>
      <c r="B2278" s="327"/>
      <c r="C2278" s="327"/>
      <c r="D2278" s="327"/>
      <c r="E2278" s="327"/>
      <c r="F2278" s="327"/>
      <c r="G2278" s="327"/>
      <c r="H2278" s="327"/>
      <c r="I2278" s="327"/>
      <c r="J2278" s="327"/>
      <c r="K2278" s="328"/>
      <c r="L2278" s="327"/>
      <c r="M2278" s="327"/>
      <c r="N2278" s="327"/>
    </row>
    <row r="2279" spans="1:14" x14ac:dyDescent="0.15">
      <c r="A2279" s="327"/>
      <c r="B2279" s="327"/>
      <c r="C2279" s="327"/>
      <c r="D2279" s="327"/>
      <c r="E2279" s="327"/>
      <c r="F2279" s="327"/>
      <c r="G2279" s="327"/>
      <c r="H2279" s="327"/>
      <c r="I2279" s="327"/>
      <c r="J2279" s="327"/>
      <c r="K2279" s="328"/>
      <c r="L2279" s="327"/>
      <c r="M2279" s="327"/>
      <c r="N2279" s="327"/>
    </row>
    <row r="2280" spans="1:14" x14ac:dyDescent="0.15">
      <c r="A2280" s="327"/>
      <c r="B2280" s="327"/>
      <c r="C2280" s="327"/>
      <c r="D2280" s="327"/>
      <c r="E2280" s="327"/>
      <c r="F2280" s="327"/>
      <c r="G2280" s="327"/>
      <c r="H2280" s="327"/>
      <c r="I2280" s="327"/>
      <c r="J2280" s="327"/>
      <c r="K2280" s="328"/>
      <c r="L2280" s="327"/>
      <c r="M2280" s="327"/>
      <c r="N2280" s="327"/>
    </row>
    <row r="2281" spans="1:14" x14ac:dyDescent="0.15">
      <c r="A2281" s="327"/>
      <c r="B2281" s="327"/>
      <c r="C2281" s="327"/>
      <c r="D2281" s="327"/>
      <c r="E2281" s="327"/>
      <c r="F2281" s="327"/>
      <c r="G2281" s="327"/>
      <c r="H2281" s="327"/>
      <c r="I2281" s="327"/>
      <c r="J2281" s="327"/>
      <c r="K2281" s="328"/>
      <c r="L2281" s="327"/>
      <c r="M2281" s="327"/>
      <c r="N2281" s="327"/>
    </row>
    <row r="2282" spans="1:14" x14ac:dyDescent="0.15">
      <c r="A2282" s="327"/>
      <c r="B2282" s="327"/>
      <c r="C2282" s="327"/>
      <c r="D2282" s="327"/>
      <c r="E2282" s="327"/>
      <c r="F2282" s="327"/>
      <c r="G2282" s="327"/>
      <c r="H2282" s="327"/>
      <c r="I2282" s="327"/>
      <c r="J2282" s="327"/>
      <c r="K2282" s="328"/>
      <c r="L2282" s="327"/>
      <c r="M2282" s="327"/>
      <c r="N2282" s="327"/>
    </row>
    <row r="2283" spans="1:14" x14ac:dyDescent="0.15">
      <c r="A2283" s="327"/>
      <c r="B2283" s="327"/>
      <c r="C2283" s="327"/>
      <c r="D2283" s="327"/>
      <c r="E2283" s="327"/>
      <c r="F2283" s="327"/>
      <c r="G2283" s="327"/>
      <c r="H2283" s="327"/>
      <c r="I2283" s="327"/>
      <c r="J2283" s="327"/>
      <c r="K2283" s="328"/>
      <c r="L2283" s="327"/>
      <c r="M2283" s="327"/>
      <c r="N2283" s="327"/>
    </row>
    <row r="2284" spans="1:14" x14ac:dyDescent="0.15">
      <c r="A2284" s="327"/>
      <c r="B2284" s="327"/>
      <c r="C2284" s="327"/>
      <c r="D2284" s="327"/>
      <c r="E2284" s="327"/>
      <c r="F2284" s="327"/>
      <c r="G2284" s="327"/>
      <c r="H2284" s="327"/>
      <c r="I2284" s="327"/>
      <c r="J2284" s="327"/>
      <c r="K2284" s="328"/>
      <c r="L2284" s="327"/>
      <c r="M2284" s="327"/>
      <c r="N2284" s="327"/>
    </row>
    <row r="2285" spans="1:14" x14ac:dyDescent="0.15">
      <c r="A2285" s="327"/>
      <c r="B2285" s="327"/>
      <c r="C2285" s="327"/>
      <c r="D2285" s="327"/>
      <c r="E2285" s="327"/>
      <c r="F2285" s="327"/>
      <c r="G2285" s="327"/>
      <c r="H2285" s="327"/>
      <c r="I2285" s="327"/>
      <c r="J2285" s="327"/>
      <c r="K2285" s="328"/>
      <c r="L2285" s="327"/>
      <c r="M2285" s="327"/>
      <c r="N2285" s="327"/>
    </row>
    <row r="2286" spans="1:14" x14ac:dyDescent="0.15">
      <c r="A2286" s="327"/>
      <c r="B2286" s="327"/>
      <c r="C2286" s="327"/>
      <c r="D2286" s="327"/>
      <c r="E2286" s="327"/>
      <c r="F2286" s="327"/>
      <c r="G2286" s="327"/>
      <c r="H2286" s="327"/>
      <c r="I2286" s="327"/>
      <c r="J2286" s="327"/>
      <c r="K2286" s="328"/>
      <c r="L2286" s="327"/>
      <c r="M2286" s="327"/>
      <c r="N2286" s="327"/>
    </row>
    <row r="2287" spans="1:14" x14ac:dyDescent="0.15">
      <c r="A2287" s="327"/>
      <c r="B2287" s="327"/>
      <c r="C2287" s="327"/>
      <c r="D2287" s="327"/>
      <c r="E2287" s="327"/>
      <c r="F2287" s="327"/>
      <c r="G2287" s="327"/>
      <c r="H2287" s="327"/>
      <c r="I2287" s="327"/>
      <c r="J2287" s="327"/>
      <c r="K2287" s="328"/>
      <c r="L2287" s="327"/>
      <c r="M2287" s="327"/>
      <c r="N2287" s="327"/>
    </row>
    <row r="2288" spans="1:14" x14ac:dyDescent="0.15">
      <c r="A2288" s="327"/>
      <c r="B2288" s="327"/>
      <c r="C2288" s="327"/>
      <c r="D2288" s="327"/>
      <c r="E2288" s="327"/>
      <c r="F2288" s="327"/>
      <c r="G2288" s="327"/>
      <c r="H2288" s="327"/>
      <c r="I2288" s="327"/>
      <c r="J2288" s="327"/>
      <c r="K2288" s="328"/>
      <c r="L2288" s="327"/>
      <c r="M2288" s="327"/>
      <c r="N2288" s="327"/>
    </row>
    <row r="2289" spans="1:14" x14ac:dyDescent="0.15">
      <c r="A2289" s="327"/>
      <c r="B2289" s="327"/>
      <c r="C2289" s="327"/>
      <c r="D2289" s="327"/>
      <c r="E2289" s="327"/>
      <c r="F2289" s="327"/>
      <c r="G2289" s="327"/>
      <c r="H2289" s="327"/>
      <c r="I2289" s="327"/>
      <c r="J2289" s="327"/>
      <c r="K2289" s="328"/>
      <c r="L2289" s="327"/>
      <c r="M2289" s="327"/>
      <c r="N2289" s="327"/>
    </row>
    <row r="2290" spans="1:14" x14ac:dyDescent="0.15">
      <c r="A2290" s="327"/>
      <c r="B2290" s="327"/>
      <c r="C2290" s="327"/>
      <c r="D2290" s="327"/>
      <c r="E2290" s="327"/>
      <c r="F2290" s="327"/>
      <c r="G2290" s="327"/>
      <c r="H2290" s="327"/>
      <c r="I2290" s="327"/>
      <c r="J2290" s="327"/>
      <c r="K2290" s="328"/>
      <c r="L2290" s="327"/>
      <c r="M2290" s="327"/>
      <c r="N2290" s="327"/>
    </row>
    <row r="2291" spans="1:14" x14ac:dyDescent="0.15">
      <c r="A2291" s="327"/>
      <c r="B2291" s="327"/>
      <c r="C2291" s="327"/>
      <c r="D2291" s="327"/>
      <c r="E2291" s="327"/>
      <c r="F2291" s="327"/>
      <c r="G2291" s="327"/>
      <c r="H2291" s="327"/>
      <c r="I2291" s="327"/>
      <c r="J2291" s="327"/>
      <c r="K2291" s="328"/>
      <c r="L2291" s="327"/>
      <c r="M2291" s="327"/>
      <c r="N2291" s="327"/>
    </row>
    <row r="2292" spans="1:14" x14ac:dyDescent="0.15">
      <c r="A2292" s="327"/>
      <c r="B2292" s="327"/>
      <c r="C2292" s="327"/>
      <c r="D2292" s="327"/>
      <c r="E2292" s="327"/>
      <c r="F2292" s="327"/>
      <c r="G2292" s="327"/>
      <c r="H2292" s="327"/>
      <c r="I2292" s="327"/>
      <c r="J2292" s="327"/>
      <c r="K2292" s="328"/>
      <c r="L2292" s="327"/>
      <c r="M2292" s="327"/>
      <c r="N2292" s="327"/>
    </row>
    <row r="2293" spans="1:14" x14ac:dyDescent="0.15">
      <c r="A2293" s="327"/>
      <c r="B2293" s="327"/>
      <c r="C2293" s="327"/>
      <c r="D2293" s="327"/>
      <c r="E2293" s="327"/>
      <c r="F2293" s="327"/>
      <c r="G2293" s="327"/>
      <c r="H2293" s="327"/>
      <c r="I2293" s="327"/>
      <c r="J2293" s="327"/>
      <c r="K2293" s="328"/>
      <c r="L2293" s="327"/>
      <c r="M2293" s="327"/>
      <c r="N2293" s="327"/>
    </row>
    <row r="2294" spans="1:14" x14ac:dyDescent="0.15">
      <c r="A2294" s="327"/>
      <c r="B2294" s="327"/>
      <c r="C2294" s="327"/>
      <c r="D2294" s="327"/>
      <c r="E2294" s="327"/>
      <c r="F2294" s="327"/>
      <c r="G2294" s="327"/>
      <c r="H2294" s="327"/>
      <c r="I2294" s="327"/>
      <c r="J2294" s="327"/>
      <c r="K2294" s="328"/>
      <c r="L2294" s="327"/>
      <c r="M2294" s="327"/>
      <c r="N2294" s="327"/>
    </row>
    <row r="2295" spans="1:14" x14ac:dyDescent="0.15">
      <c r="A2295" s="327"/>
      <c r="B2295" s="327"/>
      <c r="C2295" s="327"/>
      <c r="D2295" s="327"/>
      <c r="E2295" s="327"/>
      <c r="F2295" s="327"/>
      <c r="G2295" s="327"/>
      <c r="H2295" s="327"/>
      <c r="I2295" s="327"/>
      <c r="J2295" s="327"/>
      <c r="K2295" s="328"/>
      <c r="L2295" s="327"/>
      <c r="M2295" s="327"/>
      <c r="N2295" s="327"/>
    </row>
    <row r="2296" spans="1:14" x14ac:dyDescent="0.15">
      <c r="A2296" s="327"/>
      <c r="B2296" s="327"/>
      <c r="C2296" s="327"/>
      <c r="D2296" s="327"/>
      <c r="E2296" s="327"/>
      <c r="F2296" s="327"/>
      <c r="G2296" s="327"/>
      <c r="H2296" s="327"/>
      <c r="I2296" s="327"/>
      <c r="J2296" s="327"/>
      <c r="K2296" s="328"/>
      <c r="L2296" s="327"/>
      <c r="M2296" s="327"/>
      <c r="N2296" s="327"/>
    </row>
    <row r="2297" spans="1:14" x14ac:dyDescent="0.15">
      <c r="A2297" s="327"/>
      <c r="B2297" s="327"/>
      <c r="C2297" s="327"/>
      <c r="D2297" s="327"/>
      <c r="E2297" s="327"/>
      <c r="F2297" s="327"/>
      <c r="G2297" s="327"/>
      <c r="H2297" s="327"/>
      <c r="I2297" s="327"/>
      <c r="J2297" s="327"/>
      <c r="K2297" s="328"/>
      <c r="L2297" s="327"/>
      <c r="M2297" s="327"/>
      <c r="N2297" s="327"/>
    </row>
    <row r="2298" spans="1:14" x14ac:dyDescent="0.15">
      <c r="A2298" s="327"/>
      <c r="B2298" s="327"/>
      <c r="C2298" s="327"/>
      <c r="D2298" s="327"/>
      <c r="E2298" s="327"/>
      <c r="F2298" s="327"/>
      <c r="G2298" s="327"/>
      <c r="H2298" s="327"/>
      <c r="I2298" s="327"/>
      <c r="J2298" s="327"/>
      <c r="K2298" s="328"/>
      <c r="L2298" s="327"/>
      <c r="M2298" s="327"/>
      <c r="N2298" s="327"/>
    </row>
    <row r="2299" spans="1:14" x14ac:dyDescent="0.15">
      <c r="A2299" s="327"/>
      <c r="B2299" s="327"/>
      <c r="C2299" s="327"/>
      <c r="D2299" s="327"/>
      <c r="E2299" s="327"/>
      <c r="F2299" s="327"/>
      <c r="G2299" s="327"/>
      <c r="H2299" s="327"/>
      <c r="I2299" s="327"/>
      <c r="J2299" s="327"/>
      <c r="K2299" s="328"/>
      <c r="L2299" s="327"/>
      <c r="M2299" s="327"/>
      <c r="N2299" s="327"/>
    </row>
    <row r="2300" spans="1:14" x14ac:dyDescent="0.15">
      <c r="A2300" s="327"/>
      <c r="B2300" s="327"/>
      <c r="C2300" s="327"/>
      <c r="D2300" s="327"/>
      <c r="E2300" s="327"/>
      <c r="F2300" s="327"/>
      <c r="G2300" s="327"/>
      <c r="H2300" s="327"/>
      <c r="I2300" s="327"/>
      <c r="J2300" s="327"/>
      <c r="K2300" s="328"/>
      <c r="L2300" s="327"/>
      <c r="M2300" s="327"/>
      <c r="N2300" s="327"/>
    </row>
    <row r="2301" spans="1:14" x14ac:dyDescent="0.15">
      <c r="A2301" s="327"/>
      <c r="B2301" s="327"/>
      <c r="C2301" s="327"/>
      <c r="D2301" s="327"/>
      <c r="E2301" s="327"/>
      <c r="F2301" s="327"/>
      <c r="G2301" s="327"/>
      <c r="H2301" s="327"/>
      <c r="I2301" s="327"/>
      <c r="J2301" s="327"/>
      <c r="K2301" s="328"/>
      <c r="L2301" s="327"/>
      <c r="M2301" s="327"/>
      <c r="N2301" s="327"/>
    </row>
    <row r="2302" spans="1:14" x14ac:dyDescent="0.15">
      <c r="A2302" s="327"/>
      <c r="B2302" s="327"/>
      <c r="C2302" s="327"/>
      <c r="D2302" s="327"/>
      <c r="E2302" s="327"/>
      <c r="F2302" s="327"/>
      <c r="G2302" s="327"/>
      <c r="H2302" s="327"/>
      <c r="I2302" s="327"/>
      <c r="J2302" s="327"/>
      <c r="K2302" s="328"/>
      <c r="L2302" s="327"/>
      <c r="M2302" s="327"/>
      <c r="N2302" s="327"/>
    </row>
    <row r="2303" spans="1:14" x14ac:dyDescent="0.15">
      <c r="A2303" s="327"/>
      <c r="B2303" s="327"/>
      <c r="C2303" s="327"/>
      <c r="D2303" s="327"/>
      <c r="E2303" s="327"/>
      <c r="F2303" s="327"/>
      <c r="G2303" s="327"/>
      <c r="H2303" s="327"/>
      <c r="I2303" s="327"/>
      <c r="J2303" s="327"/>
      <c r="K2303" s="328"/>
      <c r="L2303" s="327"/>
      <c r="M2303" s="327"/>
      <c r="N2303" s="327"/>
    </row>
    <row r="2304" spans="1:14" x14ac:dyDescent="0.15">
      <c r="A2304" s="327"/>
      <c r="B2304" s="327"/>
      <c r="C2304" s="327"/>
      <c r="D2304" s="327"/>
      <c r="E2304" s="327"/>
      <c r="F2304" s="327"/>
      <c r="G2304" s="327"/>
      <c r="H2304" s="327"/>
      <c r="I2304" s="327"/>
      <c r="J2304" s="327"/>
      <c r="K2304" s="328"/>
      <c r="L2304" s="327"/>
      <c r="M2304" s="327"/>
      <c r="N2304" s="327"/>
    </row>
    <row r="2305" spans="1:14" x14ac:dyDescent="0.15">
      <c r="A2305" s="327"/>
      <c r="B2305" s="327"/>
      <c r="C2305" s="327"/>
      <c r="D2305" s="327"/>
      <c r="E2305" s="327"/>
      <c r="F2305" s="327"/>
      <c r="G2305" s="327"/>
      <c r="H2305" s="327"/>
      <c r="I2305" s="327"/>
      <c r="J2305" s="327"/>
      <c r="K2305" s="328"/>
      <c r="L2305" s="327"/>
      <c r="M2305" s="327"/>
      <c r="N2305" s="327"/>
    </row>
    <row r="2306" spans="1:14" x14ac:dyDescent="0.15">
      <c r="A2306" s="327"/>
      <c r="B2306" s="327"/>
      <c r="C2306" s="327"/>
      <c r="D2306" s="327"/>
      <c r="E2306" s="327"/>
      <c r="F2306" s="327"/>
      <c r="G2306" s="327"/>
      <c r="H2306" s="327"/>
      <c r="I2306" s="327"/>
      <c r="J2306" s="327"/>
      <c r="K2306" s="328"/>
      <c r="L2306" s="327"/>
      <c r="M2306" s="327"/>
      <c r="N2306" s="327"/>
    </row>
    <row r="2307" spans="1:14" x14ac:dyDescent="0.15">
      <c r="A2307" s="327"/>
      <c r="B2307" s="327"/>
      <c r="C2307" s="327"/>
      <c r="D2307" s="327"/>
      <c r="E2307" s="327"/>
      <c r="F2307" s="327"/>
      <c r="G2307" s="327"/>
      <c r="H2307" s="327"/>
      <c r="I2307" s="327"/>
      <c r="J2307" s="327"/>
      <c r="K2307" s="328"/>
      <c r="L2307" s="327"/>
      <c r="M2307" s="327"/>
      <c r="N2307" s="327"/>
    </row>
    <row r="2308" spans="1:14" x14ac:dyDescent="0.15">
      <c r="A2308" s="327"/>
      <c r="B2308" s="327"/>
      <c r="C2308" s="327"/>
      <c r="D2308" s="327"/>
      <c r="E2308" s="327"/>
      <c r="F2308" s="327"/>
      <c r="G2308" s="327"/>
      <c r="H2308" s="327"/>
      <c r="I2308" s="327"/>
      <c r="J2308" s="327"/>
      <c r="K2308" s="328"/>
      <c r="L2308" s="327"/>
      <c r="M2308" s="327"/>
      <c r="N2308" s="327"/>
    </row>
    <row r="2309" spans="1:14" x14ac:dyDescent="0.15">
      <c r="A2309" s="327"/>
      <c r="B2309" s="327"/>
      <c r="C2309" s="327"/>
      <c r="D2309" s="327"/>
      <c r="E2309" s="327"/>
      <c r="F2309" s="327"/>
      <c r="G2309" s="327"/>
      <c r="H2309" s="327"/>
      <c r="I2309" s="327"/>
      <c r="J2309" s="327"/>
      <c r="K2309" s="328"/>
      <c r="L2309" s="327"/>
      <c r="M2309" s="327"/>
      <c r="N2309" s="327"/>
    </row>
    <row r="2310" spans="1:14" x14ac:dyDescent="0.15">
      <c r="A2310" s="327"/>
      <c r="B2310" s="327"/>
      <c r="C2310" s="327"/>
      <c r="D2310" s="327"/>
      <c r="E2310" s="327"/>
      <c r="F2310" s="327"/>
      <c r="G2310" s="327"/>
      <c r="H2310" s="327"/>
      <c r="I2310" s="327"/>
      <c r="J2310" s="327"/>
      <c r="K2310" s="328"/>
      <c r="L2310" s="327"/>
      <c r="M2310" s="327"/>
      <c r="N2310" s="327"/>
    </row>
    <row r="2311" spans="1:14" x14ac:dyDescent="0.15">
      <c r="A2311" s="327"/>
      <c r="B2311" s="327"/>
      <c r="C2311" s="327"/>
      <c r="D2311" s="327"/>
      <c r="E2311" s="327"/>
      <c r="F2311" s="327"/>
      <c r="G2311" s="327"/>
      <c r="H2311" s="327"/>
      <c r="I2311" s="327"/>
      <c r="J2311" s="327"/>
      <c r="K2311" s="328"/>
      <c r="L2311" s="327"/>
      <c r="M2311" s="327"/>
      <c r="N2311" s="327"/>
    </row>
    <row r="2312" spans="1:14" x14ac:dyDescent="0.15">
      <c r="A2312" s="327"/>
      <c r="B2312" s="327"/>
      <c r="C2312" s="327"/>
      <c r="D2312" s="327"/>
      <c r="E2312" s="327"/>
      <c r="F2312" s="327"/>
      <c r="G2312" s="327"/>
      <c r="H2312" s="327"/>
      <c r="I2312" s="327"/>
      <c r="J2312" s="327"/>
      <c r="K2312" s="328"/>
      <c r="L2312" s="327"/>
      <c r="M2312" s="327"/>
      <c r="N2312" s="327"/>
    </row>
    <row r="2313" spans="1:14" x14ac:dyDescent="0.15">
      <c r="A2313" s="327"/>
      <c r="B2313" s="327"/>
      <c r="C2313" s="327"/>
      <c r="D2313" s="327"/>
      <c r="E2313" s="327"/>
      <c r="F2313" s="327"/>
      <c r="G2313" s="327"/>
      <c r="H2313" s="327"/>
      <c r="I2313" s="327"/>
      <c r="J2313" s="327"/>
      <c r="K2313" s="328"/>
      <c r="L2313" s="327"/>
      <c r="M2313" s="327"/>
      <c r="N2313" s="327"/>
    </row>
    <row r="2314" spans="1:14" x14ac:dyDescent="0.15">
      <c r="A2314" s="327"/>
      <c r="B2314" s="327"/>
      <c r="C2314" s="327"/>
      <c r="D2314" s="327"/>
      <c r="E2314" s="327"/>
      <c r="F2314" s="327"/>
      <c r="G2314" s="327"/>
      <c r="H2314" s="327"/>
      <c r="I2314" s="327"/>
      <c r="J2314" s="327"/>
      <c r="K2314" s="328"/>
      <c r="L2314" s="327"/>
      <c r="M2314" s="327"/>
      <c r="N2314" s="327"/>
    </row>
    <row r="2315" spans="1:14" x14ac:dyDescent="0.15">
      <c r="A2315" s="327"/>
      <c r="B2315" s="327"/>
      <c r="C2315" s="327"/>
      <c r="D2315" s="327"/>
      <c r="E2315" s="327"/>
      <c r="F2315" s="327"/>
      <c r="G2315" s="327"/>
      <c r="H2315" s="327"/>
      <c r="I2315" s="327"/>
      <c r="J2315" s="327"/>
      <c r="K2315" s="328"/>
      <c r="L2315" s="327"/>
      <c r="M2315" s="327"/>
      <c r="N2315" s="327"/>
    </row>
    <row r="2316" spans="1:14" x14ac:dyDescent="0.15">
      <c r="A2316" s="327"/>
      <c r="B2316" s="327"/>
      <c r="C2316" s="327"/>
      <c r="D2316" s="327"/>
      <c r="E2316" s="327"/>
      <c r="F2316" s="327"/>
      <c r="G2316" s="327"/>
      <c r="H2316" s="327"/>
      <c r="I2316" s="327"/>
      <c r="J2316" s="327"/>
      <c r="K2316" s="328"/>
      <c r="L2316" s="327"/>
      <c r="M2316" s="327"/>
      <c r="N2316" s="327"/>
    </row>
    <row r="2317" spans="1:14" x14ac:dyDescent="0.15">
      <c r="A2317" s="327"/>
      <c r="B2317" s="327"/>
      <c r="C2317" s="327"/>
      <c r="D2317" s="327"/>
      <c r="E2317" s="327"/>
      <c r="F2317" s="327"/>
      <c r="G2317" s="327"/>
      <c r="H2317" s="327"/>
      <c r="I2317" s="327"/>
      <c r="J2317" s="327"/>
      <c r="K2317" s="328"/>
      <c r="L2317" s="327"/>
      <c r="M2317" s="327"/>
      <c r="N2317" s="327"/>
    </row>
    <row r="2318" spans="1:14" x14ac:dyDescent="0.15">
      <c r="A2318" s="327"/>
      <c r="B2318" s="327"/>
      <c r="C2318" s="327"/>
      <c r="D2318" s="327"/>
      <c r="E2318" s="327"/>
      <c r="F2318" s="327"/>
      <c r="G2318" s="327"/>
      <c r="H2318" s="327"/>
      <c r="I2318" s="327"/>
      <c r="J2318" s="327"/>
      <c r="K2318" s="328"/>
      <c r="L2318" s="327"/>
      <c r="M2318" s="327"/>
      <c r="N2318" s="327"/>
    </row>
    <row r="2319" spans="1:14" x14ac:dyDescent="0.15">
      <c r="A2319" s="327"/>
      <c r="B2319" s="327"/>
      <c r="C2319" s="327"/>
      <c r="D2319" s="327"/>
      <c r="E2319" s="327"/>
      <c r="F2319" s="327"/>
      <c r="G2319" s="327"/>
      <c r="H2319" s="327"/>
      <c r="I2319" s="327"/>
      <c r="J2319" s="327"/>
      <c r="K2319" s="328"/>
      <c r="L2319" s="327"/>
      <c r="M2319" s="327"/>
      <c r="N2319" s="327"/>
    </row>
    <row r="2320" spans="1:14" x14ac:dyDescent="0.15">
      <c r="A2320" s="327"/>
      <c r="B2320" s="327"/>
      <c r="C2320" s="327"/>
      <c r="D2320" s="327"/>
      <c r="E2320" s="327"/>
      <c r="F2320" s="327"/>
      <c r="G2320" s="327"/>
      <c r="H2320" s="327"/>
      <c r="I2320" s="327"/>
      <c r="J2320" s="327"/>
      <c r="K2320" s="328"/>
      <c r="L2320" s="327"/>
      <c r="M2320" s="327"/>
      <c r="N2320" s="327"/>
    </row>
    <row r="2321" spans="1:14" x14ac:dyDescent="0.15">
      <c r="A2321" s="327"/>
      <c r="B2321" s="327"/>
      <c r="C2321" s="327"/>
      <c r="D2321" s="327"/>
      <c r="E2321" s="327"/>
      <c r="F2321" s="327"/>
      <c r="G2321" s="327"/>
      <c r="H2321" s="327"/>
      <c r="I2321" s="327"/>
      <c r="J2321" s="327"/>
      <c r="K2321" s="328"/>
      <c r="L2321" s="327"/>
      <c r="M2321" s="327"/>
      <c r="N2321" s="327"/>
    </row>
    <row r="2322" spans="1:14" x14ac:dyDescent="0.15">
      <c r="A2322" s="327"/>
      <c r="B2322" s="327"/>
      <c r="C2322" s="327"/>
      <c r="D2322" s="327"/>
      <c r="E2322" s="327"/>
      <c r="F2322" s="327"/>
      <c r="G2322" s="327"/>
      <c r="H2322" s="327"/>
      <c r="I2322" s="327"/>
      <c r="J2322" s="327"/>
      <c r="K2322" s="328"/>
      <c r="L2322" s="327"/>
      <c r="M2322" s="327"/>
      <c r="N2322" s="327"/>
    </row>
    <row r="2323" spans="1:14" x14ac:dyDescent="0.15">
      <c r="A2323" s="327"/>
      <c r="B2323" s="327"/>
      <c r="C2323" s="327"/>
      <c r="D2323" s="327"/>
      <c r="E2323" s="327"/>
      <c r="F2323" s="327"/>
      <c r="G2323" s="327"/>
      <c r="H2323" s="327"/>
      <c r="I2323" s="327"/>
      <c r="J2323" s="327"/>
      <c r="K2323" s="328"/>
      <c r="L2323" s="327"/>
      <c r="M2323" s="327"/>
      <c r="N2323" s="327"/>
    </row>
    <row r="2324" spans="1:14" x14ac:dyDescent="0.15">
      <c r="A2324" s="327"/>
      <c r="B2324" s="327"/>
      <c r="C2324" s="327"/>
      <c r="D2324" s="327"/>
      <c r="E2324" s="327"/>
      <c r="F2324" s="327"/>
      <c r="G2324" s="327"/>
      <c r="H2324" s="327"/>
      <c r="I2324" s="327"/>
      <c r="J2324" s="327"/>
      <c r="K2324" s="328"/>
      <c r="L2324" s="327"/>
      <c r="M2324" s="327"/>
      <c r="N2324" s="327"/>
    </row>
    <row r="2325" spans="1:14" x14ac:dyDescent="0.15">
      <c r="A2325" s="327"/>
      <c r="B2325" s="327"/>
      <c r="C2325" s="327"/>
      <c r="D2325" s="327"/>
      <c r="E2325" s="327"/>
      <c r="F2325" s="327"/>
      <c r="G2325" s="327"/>
      <c r="H2325" s="327"/>
      <c r="I2325" s="327"/>
      <c r="J2325" s="327"/>
      <c r="K2325" s="328"/>
      <c r="L2325" s="327"/>
      <c r="M2325" s="327"/>
      <c r="N2325" s="327"/>
    </row>
    <row r="2326" spans="1:14" x14ac:dyDescent="0.15">
      <c r="A2326" s="327"/>
      <c r="B2326" s="327"/>
      <c r="C2326" s="327"/>
      <c r="D2326" s="327"/>
      <c r="E2326" s="327"/>
      <c r="F2326" s="327"/>
      <c r="G2326" s="327"/>
      <c r="H2326" s="327"/>
      <c r="I2326" s="327"/>
      <c r="J2326" s="327"/>
      <c r="K2326" s="328"/>
      <c r="L2326" s="327"/>
      <c r="M2326" s="327"/>
      <c r="N2326" s="327"/>
    </row>
    <row r="2327" spans="1:14" x14ac:dyDescent="0.15">
      <c r="A2327" s="327"/>
      <c r="B2327" s="327"/>
      <c r="C2327" s="327"/>
      <c r="D2327" s="327"/>
      <c r="E2327" s="327"/>
      <c r="F2327" s="327"/>
      <c r="G2327" s="327"/>
      <c r="H2327" s="327"/>
      <c r="I2327" s="327"/>
      <c r="J2327" s="327"/>
      <c r="K2327" s="328"/>
      <c r="L2327" s="327"/>
      <c r="M2327" s="327"/>
      <c r="N2327" s="327"/>
    </row>
    <row r="2328" spans="1:14" x14ac:dyDescent="0.15">
      <c r="A2328" s="327"/>
      <c r="B2328" s="327"/>
      <c r="C2328" s="327"/>
      <c r="D2328" s="327"/>
      <c r="E2328" s="327"/>
      <c r="F2328" s="327"/>
      <c r="G2328" s="327"/>
      <c r="H2328" s="327"/>
      <c r="I2328" s="327"/>
      <c r="J2328" s="327"/>
      <c r="K2328" s="328"/>
      <c r="L2328" s="327"/>
      <c r="M2328" s="327"/>
      <c r="N2328" s="327"/>
    </row>
    <row r="2329" spans="1:14" x14ac:dyDescent="0.15">
      <c r="A2329" s="327"/>
      <c r="B2329" s="327"/>
      <c r="C2329" s="327"/>
      <c r="D2329" s="327"/>
      <c r="E2329" s="327"/>
      <c r="F2329" s="327"/>
      <c r="G2329" s="327"/>
      <c r="H2329" s="327"/>
      <c r="I2329" s="327"/>
      <c r="J2329" s="327"/>
      <c r="K2329" s="328"/>
      <c r="L2329" s="327"/>
      <c r="M2329" s="327"/>
      <c r="N2329" s="327"/>
    </row>
    <row r="2330" spans="1:14" x14ac:dyDescent="0.15">
      <c r="A2330" s="327"/>
      <c r="B2330" s="327"/>
      <c r="C2330" s="327"/>
      <c r="D2330" s="327"/>
      <c r="E2330" s="327"/>
      <c r="F2330" s="327"/>
      <c r="G2330" s="327"/>
      <c r="H2330" s="327"/>
      <c r="I2330" s="327"/>
      <c r="J2330" s="327"/>
      <c r="K2330" s="328"/>
      <c r="L2330" s="327"/>
      <c r="M2330" s="327"/>
      <c r="N2330" s="327"/>
    </row>
    <row r="2331" spans="1:14" x14ac:dyDescent="0.15">
      <c r="A2331" s="327"/>
      <c r="B2331" s="327"/>
      <c r="C2331" s="327"/>
      <c r="D2331" s="327"/>
      <c r="E2331" s="327"/>
      <c r="F2331" s="327"/>
      <c r="G2331" s="327"/>
      <c r="H2331" s="327"/>
      <c r="I2331" s="327"/>
      <c r="J2331" s="327"/>
      <c r="K2331" s="328"/>
      <c r="L2331" s="327"/>
      <c r="M2331" s="327"/>
      <c r="N2331" s="327"/>
    </row>
    <row r="2332" spans="1:14" x14ac:dyDescent="0.15">
      <c r="A2332" s="327"/>
      <c r="B2332" s="327"/>
      <c r="C2332" s="327"/>
      <c r="D2332" s="327"/>
      <c r="E2332" s="327"/>
      <c r="F2332" s="327"/>
      <c r="G2332" s="327"/>
      <c r="H2332" s="327"/>
      <c r="I2332" s="327"/>
      <c r="J2332" s="327"/>
      <c r="K2332" s="328"/>
      <c r="L2332" s="327"/>
      <c r="M2332" s="327"/>
      <c r="N2332" s="327"/>
    </row>
    <row r="2333" spans="1:14" x14ac:dyDescent="0.15">
      <c r="A2333" s="327"/>
      <c r="B2333" s="327"/>
      <c r="C2333" s="327"/>
      <c r="D2333" s="327"/>
      <c r="E2333" s="327"/>
      <c r="F2333" s="327"/>
      <c r="G2333" s="327"/>
      <c r="H2333" s="327"/>
      <c r="I2333" s="327"/>
      <c r="J2333" s="327"/>
      <c r="K2333" s="327"/>
      <c r="L2333" s="327"/>
      <c r="M2333" s="327"/>
      <c r="N2333" s="327"/>
    </row>
    <row r="2334" spans="1:14" x14ac:dyDescent="0.15">
      <c r="A2334" s="327"/>
      <c r="B2334" s="327"/>
      <c r="C2334" s="327"/>
      <c r="D2334" s="327"/>
      <c r="E2334" s="327"/>
      <c r="F2334" s="327"/>
      <c r="G2334" s="327"/>
      <c r="H2334" s="327"/>
      <c r="I2334" s="327"/>
      <c r="J2334" s="327"/>
      <c r="K2334" s="327"/>
      <c r="L2334" s="327"/>
      <c r="M2334" s="327"/>
      <c r="N2334" s="327"/>
    </row>
    <row r="2335" spans="1:14" x14ac:dyDescent="0.15">
      <c r="A2335" s="327"/>
      <c r="B2335" s="327"/>
      <c r="C2335" s="327"/>
      <c r="D2335" s="327"/>
      <c r="E2335" s="327"/>
      <c r="F2335" s="327"/>
      <c r="G2335" s="327"/>
      <c r="H2335" s="327"/>
      <c r="I2335" s="327"/>
      <c r="J2335" s="327"/>
      <c r="K2335" s="327"/>
      <c r="L2335" s="327"/>
      <c r="M2335" s="327"/>
      <c r="N2335" s="327"/>
    </row>
    <row r="2336" spans="1:14" x14ac:dyDescent="0.15">
      <c r="A2336" s="327"/>
      <c r="B2336" s="327"/>
      <c r="C2336" s="327"/>
      <c r="D2336" s="327"/>
      <c r="E2336" s="327"/>
      <c r="F2336" s="327"/>
      <c r="G2336" s="327"/>
      <c r="H2336" s="327"/>
      <c r="I2336" s="327"/>
      <c r="J2336" s="327"/>
      <c r="K2336" s="327"/>
      <c r="L2336" s="327"/>
      <c r="M2336" s="327"/>
      <c r="N2336" s="327"/>
    </row>
    <row r="2337" spans="1:14" x14ac:dyDescent="0.15">
      <c r="A2337" s="327"/>
      <c r="B2337" s="327"/>
      <c r="C2337" s="327"/>
      <c r="D2337" s="327"/>
      <c r="E2337" s="327"/>
      <c r="F2337" s="327"/>
      <c r="G2337" s="327"/>
      <c r="H2337" s="327"/>
      <c r="I2337" s="327"/>
      <c r="J2337" s="327"/>
      <c r="K2337" s="327"/>
      <c r="L2337" s="327"/>
      <c r="M2337" s="327"/>
      <c r="N2337" s="327"/>
    </row>
    <row r="2338" spans="1:14" x14ac:dyDescent="0.15">
      <c r="A2338" s="327"/>
      <c r="B2338" s="327"/>
      <c r="C2338" s="327"/>
      <c r="D2338" s="327"/>
      <c r="E2338" s="327"/>
      <c r="F2338" s="327"/>
      <c r="G2338" s="327"/>
      <c r="H2338" s="327"/>
      <c r="I2338" s="327"/>
      <c r="J2338" s="327"/>
      <c r="K2338" s="327"/>
      <c r="L2338" s="327"/>
      <c r="M2338" s="327"/>
      <c r="N2338" s="327"/>
    </row>
    <row r="2339" spans="1:14" x14ac:dyDescent="0.15">
      <c r="A2339" s="327"/>
      <c r="B2339" s="327"/>
      <c r="C2339" s="327"/>
      <c r="D2339" s="327"/>
      <c r="E2339" s="327"/>
      <c r="F2339" s="327"/>
      <c r="G2339" s="327"/>
      <c r="H2339" s="327"/>
      <c r="I2339" s="327"/>
      <c r="J2339" s="327"/>
      <c r="K2339" s="327"/>
      <c r="L2339" s="327"/>
      <c r="M2339" s="327"/>
      <c r="N2339" s="327"/>
    </row>
    <row r="2340" spans="1:14" x14ac:dyDescent="0.15">
      <c r="A2340" s="327"/>
      <c r="B2340" s="327"/>
      <c r="C2340" s="327"/>
      <c r="D2340" s="327"/>
      <c r="E2340" s="327"/>
      <c r="F2340" s="327"/>
      <c r="G2340" s="327"/>
      <c r="H2340" s="327"/>
      <c r="I2340" s="327"/>
      <c r="J2340" s="327"/>
      <c r="K2340" s="327"/>
      <c r="L2340" s="327"/>
      <c r="M2340" s="327"/>
      <c r="N2340" s="327"/>
    </row>
    <row r="2341" spans="1:14" x14ac:dyDescent="0.15">
      <c r="A2341" s="327"/>
      <c r="B2341" s="327"/>
      <c r="C2341" s="327"/>
      <c r="D2341" s="327"/>
      <c r="E2341" s="327"/>
      <c r="F2341" s="327"/>
      <c r="G2341" s="327"/>
      <c r="H2341" s="327"/>
      <c r="I2341" s="327"/>
      <c r="J2341" s="327"/>
      <c r="K2341" s="327"/>
      <c r="L2341" s="327"/>
      <c r="M2341" s="327"/>
      <c r="N2341" s="327"/>
    </row>
    <row r="2342" spans="1:14" x14ac:dyDescent="0.15">
      <c r="A2342" s="327"/>
      <c r="B2342" s="327"/>
      <c r="C2342" s="327"/>
      <c r="D2342" s="327"/>
      <c r="E2342" s="327"/>
      <c r="F2342" s="327"/>
      <c r="G2342" s="327"/>
      <c r="H2342" s="327"/>
      <c r="I2342" s="327"/>
      <c r="J2342" s="327"/>
      <c r="K2342" s="327"/>
      <c r="L2342" s="327"/>
      <c r="M2342" s="327"/>
      <c r="N2342" s="327"/>
    </row>
    <row r="2343" spans="1:14" x14ac:dyDescent="0.15">
      <c r="A2343" s="327"/>
      <c r="B2343" s="327"/>
      <c r="C2343" s="327"/>
      <c r="D2343" s="327"/>
      <c r="E2343" s="327"/>
      <c r="F2343" s="327"/>
      <c r="G2343" s="327"/>
      <c r="H2343" s="327"/>
      <c r="I2343" s="327"/>
      <c r="J2343" s="327"/>
      <c r="K2343" s="327"/>
      <c r="L2343" s="327"/>
      <c r="M2343" s="327"/>
      <c r="N2343" s="327"/>
    </row>
    <row r="2344" spans="1:14" x14ac:dyDescent="0.15">
      <c r="A2344" s="327"/>
      <c r="B2344" s="327"/>
      <c r="C2344" s="327"/>
      <c r="D2344" s="327"/>
      <c r="E2344" s="327"/>
      <c r="F2344" s="327"/>
      <c r="G2344" s="327"/>
      <c r="H2344" s="327"/>
      <c r="I2344" s="327"/>
      <c r="J2344" s="327"/>
      <c r="K2344" s="327"/>
      <c r="L2344" s="327"/>
      <c r="M2344" s="327"/>
      <c r="N2344" s="327"/>
    </row>
    <row r="2345" spans="1:14" x14ac:dyDescent="0.15">
      <c r="A2345" s="327"/>
      <c r="B2345" s="327"/>
      <c r="C2345" s="327"/>
      <c r="D2345" s="327"/>
      <c r="E2345" s="327"/>
      <c r="F2345" s="327"/>
      <c r="G2345" s="327"/>
      <c r="H2345" s="327"/>
      <c r="I2345" s="327"/>
      <c r="J2345" s="327"/>
      <c r="K2345" s="327"/>
      <c r="L2345" s="327"/>
      <c r="M2345" s="327"/>
      <c r="N2345" s="327"/>
    </row>
    <row r="2346" spans="1:14" x14ac:dyDescent="0.15">
      <c r="A2346" s="327"/>
      <c r="B2346" s="327"/>
      <c r="C2346" s="327"/>
      <c r="D2346" s="327"/>
      <c r="E2346" s="327"/>
      <c r="F2346" s="327"/>
      <c r="G2346" s="327"/>
      <c r="H2346" s="327"/>
      <c r="I2346" s="327"/>
      <c r="J2346" s="327"/>
      <c r="K2346" s="327"/>
      <c r="L2346" s="327"/>
      <c r="M2346" s="327"/>
      <c r="N2346" s="327"/>
    </row>
    <row r="2347" spans="1:14" x14ac:dyDescent="0.15">
      <c r="A2347" s="327"/>
      <c r="B2347" s="327"/>
      <c r="C2347" s="327"/>
      <c r="D2347" s="327"/>
      <c r="E2347" s="327"/>
      <c r="F2347" s="327"/>
      <c r="G2347" s="327"/>
      <c r="H2347" s="327"/>
      <c r="I2347" s="327"/>
      <c r="J2347" s="327"/>
      <c r="K2347" s="327"/>
      <c r="L2347" s="327"/>
      <c r="M2347" s="327"/>
      <c r="N2347" s="327"/>
    </row>
    <row r="2348" spans="1:14" x14ac:dyDescent="0.15">
      <c r="A2348" s="327"/>
      <c r="B2348" s="327"/>
      <c r="C2348" s="327"/>
      <c r="D2348" s="327"/>
      <c r="E2348" s="327"/>
      <c r="F2348" s="327"/>
      <c r="G2348" s="327"/>
      <c r="H2348" s="327"/>
      <c r="I2348" s="327"/>
      <c r="J2348" s="327"/>
      <c r="K2348" s="327"/>
      <c r="L2348" s="327"/>
      <c r="M2348" s="327"/>
      <c r="N2348" s="327"/>
    </row>
    <row r="2349" spans="1:14" x14ac:dyDescent="0.15">
      <c r="A2349" s="327"/>
      <c r="B2349" s="327"/>
      <c r="C2349" s="327"/>
      <c r="D2349" s="327"/>
      <c r="E2349" s="327"/>
      <c r="F2349" s="327"/>
      <c r="G2349" s="327"/>
      <c r="H2349" s="327"/>
      <c r="I2349" s="327"/>
      <c r="J2349" s="327"/>
      <c r="K2349" s="327"/>
      <c r="L2349" s="327"/>
      <c r="M2349" s="327"/>
      <c r="N2349" s="327"/>
    </row>
    <row r="2350" spans="1:14" x14ac:dyDescent="0.15">
      <c r="A2350" s="327"/>
      <c r="B2350" s="327"/>
      <c r="C2350" s="327"/>
      <c r="D2350" s="327"/>
      <c r="E2350" s="327"/>
      <c r="F2350" s="327"/>
      <c r="G2350" s="327"/>
      <c r="H2350" s="327"/>
      <c r="I2350" s="327"/>
      <c r="J2350" s="327"/>
      <c r="K2350" s="327"/>
      <c r="L2350" s="327"/>
      <c r="M2350" s="327"/>
      <c r="N2350" s="327"/>
    </row>
    <row r="2351" spans="1:14" x14ac:dyDescent="0.15">
      <c r="A2351" s="327"/>
      <c r="B2351" s="327"/>
      <c r="C2351" s="327"/>
      <c r="D2351" s="327"/>
      <c r="E2351" s="327"/>
      <c r="F2351" s="327"/>
      <c r="G2351" s="327"/>
      <c r="H2351" s="327"/>
      <c r="I2351" s="327"/>
      <c r="J2351" s="327"/>
      <c r="K2351" s="327"/>
      <c r="L2351" s="327"/>
      <c r="M2351" s="327"/>
      <c r="N2351" s="327"/>
    </row>
    <row r="2352" spans="1:14" x14ac:dyDescent="0.15">
      <c r="A2352" s="327"/>
      <c r="B2352" s="327"/>
      <c r="C2352" s="327"/>
      <c r="D2352" s="327"/>
      <c r="E2352" s="327"/>
      <c r="F2352" s="327"/>
      <c r="G2352" s="327"/>
      <c r="H2352" s="327"/>
      <c r="I2352" s="327"/>
      <c r="J2352" s="327"/>
      <c r="K2352" s="327"/>
      <c r="L2352" s="327"/>
      <c r="M2352" s="327"/>
      <c r="N2352" s="327"/>
    </row>
    <row r="2353" spans="1:14" x14ac:dyDescent="0.15">
      <c r="A2353" s="327"/>
      <c r="B2353" s="327"/>
      <c r="C2353" s="327"/>
      <c r="D2353" s="327"/>
      <c r="E2353" s="327"/>
      <c r="F2353" s="327"/>
      <c r="G2353" s="327"/>
      <c r="H2353" s="327"/>
      <c r="I2353" s="327"/>
      <c r="J2353" s="327"/>
      <c r="K2353" s="327"/>
      <c r="L2353" s="327"/>
      <c r="M2353" s="327"/>
      <c r="N2353" s="327"/>
    </row>
    <row r="2354" spans="1:14" x14ac:dyDescent="0.15">
      <c r="A2354" s="327"/>
      <c r="B2354" s="327"/>
      <c r="C2354" s="327"/>
      <c r="D2354" s="327"/>
      <c r="E2354" s="327"/>
      <c r="F2354" s="327"/>
      <c r="G2354" s="327"/>
      <c r="H2354" s="327"/>
      <c r="I2354" s="327"/>
      <c r="J2354" s="327"/>
      <c r="K2354" s="327"/>
      <c r="L2354" s="327"/>
      <c r="M2354" s="327"/>
      <c r="N2354" s="327"/>
    </row>
    <row r="2355" spans="1:14" x14ac:dyDescent="0.15">
      <c r="A2355" s="327"/>
      <c r="B2355" s="327"/>
      <c r="C2355" s="327"/>
      <c r="D2355" s="327"/>
      <c r="E2355" s="327"/>
      <c r="F2355" s="327"/>
      <c r="G2355" s="327"/>
      <c r="H2355" s="327"/>
      <c r="I2355" s="327"/>
      <c r="J2355" s="327"/>
      <c r="K2355" s="327"/>
      <c r="L2355" s="327"/>
      <c r="M2355" s="327"/>
      <c r="N2355" s="327"/>
    </row>
    <row r="2356" spans="1:14" x14ac:dyDescent="0.15">
      <c r="A2356" s="327"/>
      <c r="B2356" s="327"/>
      <c r="C2356" s="327"/>
      <c r="D2356" s="327"/>
      <c r="E2356" s="327"/>
      <c r="F2356" s="327"/>
      <c r="G2356" s="327"/>
      <c r="H2356" s="327"/>
      <c r="I2356" s="327"/>
      <c r="J2356" s="327"/>
      <c r="K2356" s="327"/>
      <c r="L2356" s="327"/>
      <c r="M2356" s="327"/>
      <c r="N2356" s="327"/>
    </row>
    <row r="2357" spans="1:14" x14ac:dyDescent="0.15">
      <c r="A2357" s="327"/>
      <c r="B2357" s="327"/>
      <c r="C2357" s="327"/>
      <c r="D2357" s="327"/>
      <c r="E2357" s="327"/>
      <c r="F2357" s="327"/>
      <c r="G2357" s="327"/>
      <c r="H2357" s="327"/>
      <c r="I2357" s="327"/>
      <c r="J2357" s="327"/>
      <c r="K2357" s="327"/>
      <c r="L2357" s="327"/>
      <c r="M2357" s="327"/>
      <c r="N2357" s="327"/>
    </row>
    <row r="2358" spans="1:14" x14ac:dyDescent="0.15">
      <c r="A2358" s="327"/>
      <c r="B2358" s="327"/>
      <c r="C2358" s="327"/>
      <c r="D2358" s="327"/>
      <c r="E2358" s="327"/>
      <c r="F2358" s="327"/>
      <c r="G2358" s="327"/>
      <c r="H2358" s="327"/>
      <c r="I2358" s="327"/>
      <c r="J2358" s="327"/>
      <c r="K2358" s="327"/>
      <c r="L2358" s="327"/>
      <c r="M2358" s="327"/>
      <c r="N2358" s="327"/>
    </row>
    <row r="2359" spans="1:14" x14ac:dyDescent="0.15">
      <c r="A2359" s="327"/>
      <c r="B2359" s="327"/>
      <c r="C2359" s="327"/>
      <c r="D2359" s="327"/>
      <c r="E2359" s="327"/>
      <c r="F2359" s="327"/>
      <c r="G2359" s="327"/>
      <c r="H2359" s="327"/>
      <c r="I2359" s="327"/>
      <c r="J2359" s="327"/>
      <c r="K2359" s="327"/>
      <c r="L2359" s="327"/>
      <c r="M2359" s="327"/>
      <c r="N2359" s="327"/>
    </row>
    <row r="2360" spans="1:14" x14ac:dyDescent="0.15">
      <c r="A2360" s="327"/>
      <c r="B2360" s="327"/>
      <c r="C2360" s="327"/>
      <c r="D2360" s="327"/>
      <c r="E2360" s="327"/>
      <c r="F2360" s="327"/>
      <c r="G2360" s="327"/>
      <c r="H2360" s="327"/>
      <c r="I2360" s="327"/>
      <c r="J2360" s="327"/>
      <c r="K2360" s="327"/>
      <c r="L2360" s="327"/>
      <c r="M2360" s="327"/>
      <c r="N2360" s="327"/>
    </row>
    <row r="2361" spans="1:14" x14ac:dyDescent="0.15">
      <c r="A2361" s="327"/>
      <c r="B2361" s="327"/>
      <c r="C2361" s="327"/>
      <c r="D2361" s="327"/>
      <c r="E2361" s="327"/>
      <c r="F2361" s="327"/>
      <c r="G2361" s="327"/>
      <c r="H2361" s="327"/>
      <c r="I2361" s="327"/>
      <c r="J2361" s="327"/>
      <c r="K2361" s="327"/>
      <c r="L2361" s="327"/>
      <c r="M2361" s="327"/>
      <c r="N2361" s="327"/>
    </row>
    <row r="2362" spans="1:14" x14ac:dyDescent="0.15">
      <c r="A2362" s="327"/>
      <c r="B2362" s="327"/>
      <c r="C2362" s="327"/>
      <c r="D2362" s="327"/>
      <c r="E2362" s="327"/>
      <c r="F2362" s="327"/>
      <c r="G2362" s="327"/>
      <c r="H2362" s="327"/>
      <c r="I2362" s="327"/>
      <c r="J2362" s="327"/>
      <c r="K2362" s="327"/>
      <c r="L2362" s="327"/>
      <c r="M2362" s="327"/>
      <c r="N2362" s="327"/>
    </row>
    <row r="2363" spans="1:14" x14ac:dyDescent="0.15">
      <c r="A2363" s="327"/>
      <c r="B2363" s="327"/>
      <c r="C2363" s="327"/>
      <c r="D2363" s="327"/>
      <c r="E2363" s="327"/>
      <c r="F2363" s="327"/>
      <c r="G2363" s="327"/>
      <c r="H2363" s="327"/>
      <c r="I2363" s="327"/>
      <c r="J2363" s="327"/>
      <c r="K2363" s="327"/>
      <c r="L2363" s="327"/>
      <c r="M2363" s="327"/>
      <c r="N2363" s="327"/>
    </row>
    <row r="2364" spans="1:14" x14ac:dyDescent="0.15">
      <c r="A2364" s="327"/>
      <c r="B2364" s="327"/>
      <c r="C2364" s="327"/>
      <c r="D2364" s="327"/>
      <c r="E2364" s="327"/>
      <c r="F2364" s="327"/>
      <c r="G2364" s="327"/>
      <c r="H2364" s="327"/>
      <c r="I2364" s="327"/>
      <c r="J2364" s="327"/>
      <c r="K2364" s="327"/>
      <c r="L2364" s="327"/>
      <c r="M2364" s="327"/>
      <c r="N2364" s="327"/>
    </row>
    <row r="2365" spans="1:14" x14ac:dyDescent="0.15">
      <c r="A2365" s="327"/>
      <c r="B2365" s="327"/>
      <c r="C2365" s="327"/>
      <c r="D2365" s="327"/>
      <c r="E2365" s="327"/>
      <c r="F2365" s="327"/>
      <c r="G2365" s="327"/>
      <c r="H2365" s="327"/>
      <c r="I2365" s="327"/>
      <c r="J2365" s="327"/>
      <c r="K2365" s="327"/>
      <c r="L2365" s="327"/>
      <c r="M2365" s="327"/>
      <c r="N2365" s="327"/>
    </row>
    <row r="2366" spans="1:14" x14ac:dyDescent="0.15">
      <c r="A2366" s="327"/>
      <c r="B2366" s="327"/>
      <c r="C2366" s="327"/>
      <c r="D2366" s="327"/>
      <c r="E2366" s="327"/>
      <c r="F2366" s="327"/>
      <c r="G2366" s="327"/>
      <c r="H2366" s="327"/>
      <c r="I2366" s="327"/>
      <c r="J2366" s="327"/>
      <c r="K2366" s="327"/>
      <c r="L2366" s="327"/>
      <c r="M2366" s="327"/>
      <c r="N2366" s="327"/>
    </row>
    <row r="2367" spans="1:14" x14ac:dyDescent="0.15">
      <c r="A2367" s="327"/>
      <c r="B2367" s="327"/>
      <c r="C2367" s="327"/>
      <c r="D2367" s="327"/>
      <c r="E2367" s="327"/>
      <c r="F2367" s="327"/>
      <c r="G2367" s="327"/>
      <c r="H2367" s="327"/>
      <c r="I2367" s="327"/>
      <c r="J2367" s="327"/>
      <c r="K2367" s="327"/>
      <c r="L2367" s="327"/>
      <c r="M2367" s="327"/>
      <c r="N2367" s="327"/>
    </row>
    <row r="2368" spans="1:14" x14ac:dyDescent="0.15">
      <c r="A2368" s="327"/>
      <c r="B2368" s="327"/>
      <c r="C2368" s="327"/>
      <c r="D2368" s="327"/>
      <c r="E2368" s="327"/>
      <c r="F2368" s="327"/>
      <c r="G2368" s="327"/>
      <c r="H2368" s="327"/>
      <c r="I2368" s="327"/>
      <c r="J2368" s="327"/>
      <c r="K2368" s="327"/>
      <c r="L2368" s="327"/>
      <c r="M2368" s="327"/>
      <c r="N2368" s="327"/>
    </row>
    <row r="2369" spans="1:14" x14ac:dyDescent="0.15">
      <c r="A2369" s="327"/>
      <c r="B2369" s="327"/>
      <c r="C2369" s="327"/>
      <c r="D2369" s="327"/>
      <c r="E2369" s="327"/>
      <c r="F2369" s="327"/>
      <c r="G2369" s="327"/>
      <c r="H2369" s="327"/>
      <c r="I2369" s="327"/>
      <c r="J2369" s="327"/>
      <c r="K2369" s="327"/>
      <c r="L2369" s="327"/>
      <c r="M2369" s="327"/>
      <c r="N2369" s="327"/>
    </row>
    <row r="2370" spans="1:14" x14ac:dyDescent="0.15">
      <c r="A2370" s="327"/>
      <c r="B2370" s="327"/>
      <c r="C2370" s="327"/>
      <c r="D2370" s="327"/>
      <c r="E2370" s="327"/>
      <c r="F2370" s="327"/>
      <c r="G2370" s="327"/>
      <c r="H2370" s="327"/>
      <c r="I2370" s="327"/>
      <c r="J2370" s="327"/>
      <c r="K2370" s="327"/>
      <c r="L2370" s="327"/>
      <c r="M2370" s="327"/>
      <c r="N2370" s="327"/>
    </row>
    <row r="2371" spans="1:14" x14ac:dyDescent="0.15">
      <c r="A2371" s="327"/>
      <c r="B2371" s="327"/>
      <c r="C2371" s="327"/>
      <c r="D2371" s="327"/>
      <c r="E2371" s="327"/>
      <c r="F2371" s="327"/>
      <c r="G2371" s="327"/>
      <c r="H2371" s="327"/>
      <c r="I2371" s="327"/>
      <c r="J2371" s="327"/>
      <c r="K2371" s="327"/>
      <c r="L2371" s="327"/>
      <c r="M2371" s="327"/>
      <c r="N2371" s="327"/>
    </row>
    <row r="2372" spans="1:14" x14ac:dyDescent="0.15">
      <c r="A2372" s="327"/>
      <c r="B2372" s="327"/>
      <c r="C2372" s="327"/>
      <c r="D2372" s="327"/>
      <c r="E2372" s="327"/>
      <c r="F2372" s="327"/>
      <c r="G2372" s="327"/>
      <c r="H2372" s="327"/>
      <c r="I2372" s="327"/>
      <c r="J2372" s="327"/>
      <c r="K2372" s="327"/>
      <c r="L2372" s="327"/>
      <c r="M2372" s="327"/>
      <c r="N2372" s="327"/>
    </row>
    <row r="2373" spans="1:14" x14ac:dyDescent="0.15">
      <c r="A2373" s="327"/>
      <c r="B2373" s="327"/>
      <c r="C2373" s="327"/>
      <c r="D2373" s="327"/>
      <c r="E2373" s="327"/>
      <c r="F2373" s="327"/>
      <c r="G2373" s="327"/>
      <c r="H2373" s="327"/>
      <c r="I2373" s="327"/>
      <c r="J2373" s="327"/>
      <c r="K2373" s="327"/>
      <c r="L2373" s="327"/>
      <c r="M2373" s="327"/>
      <c r="N2373" s="327"/>
    </row>
    <row r="2374" spans="1:14" x14ac:dyDescent="0.15">
      <c r="A2374" s="327"/>
      <c r="B2374" s="327"/>
      <c r="C2374" s="327"/>
      <c r="D2374" s="327"/>
      <c r="E2374" s="327"/>
      <c r="F2374" s="327"/>
      <c r="G2374" s="327"/>
      <c r="H2374" s="327"/>
      <c r="I2374" s="327"/>
      <c r="J2374" s="327"/>
      <c r="K2374" s="327"/>
      <c r="L2374" s="327"/>
      <c r="M2374" s="327"/>
      <c r="N2374" s="327"/>
    </row>
    <row r="2375" spans="1:14" x14ac:dyDescent="0.15">
      <c r="A2375" s="327"/>
      <c r="B2375" s="327"/>
      <c r="C2375" s="327"/>
      <c r="D2375" s="327"/>
      <c r="E2375" s="327"/>
      <c r="F2375" s="327"/>
      <c r="G2375" s="327"/>
      <c r="H2375" s="327"/>
      <c r="I2375" s="327"/>
      <c r="J2375" s="327"/>
      <c r="K2375" s="327"/>
      <c r="L2375" s="327"/>
      <c r="M2375" s="327"/>
      <c r="N2375" s="327"/>
    </row>
    <row r="2376" spans="1:14" x14ac:dyDescent="0.15">
      <c r="A2376" s="327"/>
      <c r="B2376" s="327"/>
      <c r="C2376" s="327"/>
      <c r="D2376" s="327"/>
      <c r="E2376" s="327"/>
      <c r="F2376" s="327"/>
      <c r="G2376" s="327"/>
      <c r="H2376" s="327"/>
      <c r="I2376" s="327"/>
      <c r="J2376" s="327"/>
      <c r="K2376" s="327"/>
      <c r="L2376" s="327"/>
      <c r="M2376" s="327"/>
      <c r="N2376" s="327"/>
    </row>
    <row r="2377" spans="1:14" x14ac:dyDescent="0.15">
      <c r="A2377" s="327"/>
      <c r="B2377" s="327"/>
      <c r="C2377" s="327"/>
      <c r="D2377" s="327"/>
      <c r="E2377" s="327"/>
      <c r="F2377" s="327"/>
      <c r="G2377" s="327"/>
      <c r="H2377" s="327"/>
      <c r="I2377" s="327"/>
      <c r="J2377" s="327"/>
      <c r="K2377" s="327"/>
      <c r="L2377" s="327"/>
      <c r="M2377" s="327"/>
      <c r="N2377" s="327"/>
    </row>
    <row r="2378" spans="1:14" x14ac:dyDescent="0.15">
      <c r="A2378" s="327"/>
      <c r="B2378" s="327"/>
      <c r="C2378" s="327"/>
      <c r="D2378" s="327"/>
      <c r="E2378" s="327"/>
      <c r="F2378" s="327"/>
      <c r="G2378" s="327"/>
      <c r="H2378" s="327"/>
      <c r="I2378" s="327"/>
      <c r="J2378" s="327"/>
      <c r="K2378" s="327"/>
      <c r="L2378" s="327"/>
      <c r="M2378" s="327"/>
      <c r="N2378" s="327"/>
    </row>
    <row r="2379" spans="1:14" x14ac:dyDescent="0.15">
      <c r="A2379" s="327"/>
      <c r="B2379" s="327"/>
      <c r="C2379" s="327"/>
      <c r="D2379" s="327"/>
      <c r="E2379" s="327"/>
      <c r="F2379" s="327"/>
      <c r="G2379" s="327"/>
      <c r="H2379" s="327"/>
      <c r="I2379" s="327"/>
      <c r="J2379" s="327"/>
      <c r="K2379" s="327"/>
      <c r="L2379" s="327"/>
      <c r="M2379" s="327"/>
      <c r="N2379" s="327"/>
    </row>
    <row r="2380" spans="1:14" x14ac:dyDescent="0.15">
      <c r="A2380" s="327"/>
      <c r="B2380" s="327"/>
      <c r="C2380" s="327"/>
      <c r="D2380" s="327"/>
      <c r="E2380" s="327"/>
      <c r="F2380" s="327"/>
      <c r="G2380" s="327"/>
      <c r="H2380" s="327"/>
      <c r="I2380" s="327"/>
      <c r="J2380" s="327"/>
      <c r="K2380" s="327"/>
      <c r="L2380" s="327"/>
      <c r="M2380" s="327"/>
      <c r="N2380" s="327"/>
    </row>
    <row r="2381" spans="1:14" x14ac:dyDescent="0.15">
      <c r="A2381" s="327"/>
      <c r="B2381" s="327"/>
      <c r="C2381" s="327"/>
      <c r="D2381" s="327"/>
      <c r="E2381" s="327"/>
      <c r="F2381" s="327"/>
      <c r="G2381" s="327"/>
      <c r="H2381" s="327"/>
      <c r="I2381" s="327"/>
      <c r="J2381" s="327"/>
      <c r="K2381" s="327"/>
      <c r="L2381" s="327"/>
      <c r="M2381" s="327"/>
      <c r="N2381" s="327"/>
    </row>
    <row r="2382" spans="1:14" x14ac:dyDescent="0.15">
      <c r="A2382" s="327"/>
      <c r="B2382" s="327"/>
      <c r="C2382" s="327"/>
      <c r="D2382" s="327"/>
      <c r="E2382" s="327"/>
      <c r="F2382" s="327"/>
      <c r="G2382" s="327"/>
      <c r="H2382" s="327"/>
      <c r="I2382" s="327"/>
      <c r="J2382" s="327"/>
      <c r="K2382" s="327"/>
      <c r="L2382" s="327"/>
      <c r="M2382" s="327"/>
      <c r="N2382" s="327"/>
    </row>
    <row r="2383" spans="1:14" x14ac:dyDescent="0.15">
      <c r="A2383" s="327"/>
      <c r="B2383" s="327"/>
      <c r="C2383" s="327"/>
      <c r="D2383" s="327"/>
      <c r="E2383" s="327"/>
      <c r="F2383" s="327"/>
      <c r="G2383" s="327"/>
      <c r="H2383" s="327"/>
      <c r="I2383" s="327"/>
      <c r="J2383" s="327"/>
      <c r="K2383" s="327"/>
      <c r="L2383" s="327"/>
      <c r="M2383" s="327"/>
      <c r="N2383" s="327"/>
    </row>
    <row r="2384" spans="1:14" x14ac:dyDescent="0.15">
      <c r="A2384" s="327"/>
      <c r="B2384" s="327"/>
      <c r="C2384" s="327"/>
      <c r="D2384" s="327"/>
      <c r="E2384" s="327"/>
      <c r="F2384" s="327"/>
      <c r="G2384" s="327"/>
      <c r="H2384" s="327"/>
      <c r="I2384" s="327"/>
      <c r="J2384" s="327"/>
      <c r="K2384" s="327"/>
      <c r="L2384" s="327"/>
      <c r="M2384" s="327"/>
      <c r="N2384" s="327"/>
    </row>
    <row r="2385" spans="1:14" x14ac:dyDescent="0.15">
      <c r="A2385" s="327"/>
      <c r="B2385" s="327"/>
      <c r="C2385" s="327"/>
      <c r="D2385" s="327"/>
      <c r="E2385" s="327"/>
      <c r="F2385" s="327"/>
      <c r="G2385" s="327"/>
      <c r="H2385" s="327"/>
      <c r="I2385" s="327"/>
      <c r="J2385" s="327"/>
      <c r="K2385" s="327"/>
      <c r="L2385" s="327"/>
      <c r="M2385" s="327"/>
      <c r="N2385" s="327"/>
    </row>
    <row r="2386" spans="1:14" x14ac:dyDescent="0.15">
      <c r="A2386" s="327"/>
      <c r="B2386" s="327"/>
      <c r="C2386" s="327"/>
      <c r="D2386" s="327"/>
      <c r="E2386" s="327"/>
      <c r="F2386" s="327"/>
      <c r="G2386" s="327"/>
      <c r="H2386" s="327"/>
      <c r="I2386" s="327"/>
      <c r="J2386" s="327"/>
      <c r="K2386" s="327"/>
      <c r="L2386" s="327"/>
      <c r="M2386" s="327"/>
      <c r="N2386" s="327"/>
    </row>
    <row r="2387" spans="1:14" x14ac:dyDescent="0.15">
      <c r="A2387" s="327"/>
      <c r="B2387" s="327"/>
      <c r="C2387" s="327"/>
      <c r="D2387" s="327"/>
      <c r="E2387" s="327"/>
      <c r="F2387" s="327"/>
      <c r="G2387" s="327"/>
      <c r="H2387" s="327"/>
      <c r="I2387" s="327"/>
      <c r="J2387" s="327"/>
      <c r="K2387" s="327"/>
      <c r="L2387" s="327"/>
      <c r="M2387" s="327"/>
      <c r="N2387" s="327"/>
    </row>
    <row r="2388" spans="1:14" x14ac:dyDescent="0.15">
      <c r="A2388" s="327"/>
      <c r="B2388" s="327"/>
      <c r="C2388" s="327"/>
      <c r="D2388" s="327"/>
      <c r="E2388" s="327"/>
      <c r="F2388" s="327"/>
      <c r="G2388" s="327"/>
      <c r="H2388" s="327"/>
      <c r="I2388" s="327"/>
      <c r="J2388" s="327"/>
      <c r="K2388" s="327"/>
      <c r="L2388" s="327"/>
      <c r="M2388" s="327"/>
      <c r="N2388" s="327"/>
    </row>
    <row r="2389" spans="1:14" x14ac:dyDescent="0.15">
      <c r="A2389" s="327"/>
      <c r="B2389" s="327"/>
      <c r="C2389" s="327"/>
      <c r="D2389" s="327"/>
      <c r="E2389" s="327"/>
      <c r="F2389" s="327"/>
      <c r="G2389" s="327"/>
      <c r="H2389" s="327"/>
      <c r="I2389" s="327"/>
      <c r="J2389" s="327"/>
      <c r="K2389" s="327"/>
      <c r="L2389" s="327"/>
      <c r="M2389" s="327"/>
      <c r="N2389" s="327"/>
    </row>
    <row r="2390" spans="1:14" x14ac:dyDescent="0.15">
      <c r="A2390" s="327"/>
      <c r="B2390" s="327"/>
      <c r="C2390" s="327"/>
      <c r="D2390" s="327"/>
      <c r="E2390" s="327"/>
      <c r="F2390" s="327"/>
      <c r="G2390" s="327"/>
      <c r="H2390" s="327"/>
      <c r="I2390" s="327"/>
      <c r="J2390" s="327"/>
      <c r="K2390" s="327"/>
      <c r="L2390" s="327"/>
      <c r="M2390" s="327"/>
      <c r="N2390" s="327"/>
    </row>
    <row r="2391" spans="1:14" x14ac:dyDescent="0.15">
      <c r="A2391" s="327"/>
      <c r="B2391" s="327"/>
      <c r="C2391" s="327"/>
      <c r="D2391" s="327"/>
      <c r="E2391" s="327"/>
      <c r="F2391" s="327"/>
      <c r="G2391" s="327"/>
      <c r="H2391" s="327"/>
      <c r="I2391" s="327"/>
      <c r="J2391" s="327"/>
      <c r="K2391" s="327"/>
      <c r="L2391" s="327"/>
      <c r="M2391" s="327"/>
      <c r="N2391" s="327"/>
    </row>
    <row r="2392" spans="1:14" x14ac:dyDescent="0.15">
      <c r="A2392" s="327"/>
      <c r="B2392" s="327"/>
      <c r="C2392" s="327"/>
      <c r="D2392" s="327"/>
      <c r="E2392" s="327"/>
      <c r="F2392" s="327"/>
      <c r="G2392" s="327"/>
      <c r="H2392" s="327"/>
      <c r="I2392" s="327"/>
      <c r="J2392" s="327"/>
      <c r="K2392" s="327"/>
      <c r="L2392" s="327"/>
      <c r="M2392" s="327"/>
      <c r="N2392" s="327"/>
    </row>
    <row r="2393" spans="1:14" x14ac:dyDescent="0.15">
      <c r="A2393" s="327"/>
      <c r="B2393" s="327"/>
      <c r="C2393" s="327"/>
      <c r="D2393" s="327"/>
      <c r="E2393" s="327"/>
      <c r="F2393" s="327"/>
      <c r="G2393" s="327"/>
      <c r="H2393" s="327"/>
      <c r="I2393" s="327"/>
      <c r="J2393" s="327"/>
      <c r="K2393" s="327"/>
      <c r="L2393" s="327"/>
      <c r="M2393" s="327"/>
      <c r="N2393" s="327"/>
    </row>
    <row r="2394" spans="1:14" x14ac:dyDescent="0.15">
      <c r="A2394" s="327"/>
      <c r="B2394" s="327"/>
      <c r="C2394" s="327"/>
      <c r="D2394" s="327"/>
      <c r="E2394" s="327"/>
      <c r="F2394" s="327"/>
      <c r="G2394" s="327"/>
      <c r="H2394" s="327"/>
      <c r="I2394" s="327"/>
      <c r="J2394" s="327"/>
      <c r="K2394" s="327"/>
      <c r="L2394" s="327"/>
      <c r="M2394" s="327"/>
      <c r="N2394" s="327"/>
    </row>
    <row r="2395" spans="1:14" x14ac:dyDescent="0.15">
      <c r="A2395" s="327"/>
      <c r="B2395" s="327"/>
      <c r="C2395" s="327"/>
      <c r="D2395" s="327"/>
      <c r="E2395" s="327"/>
      <c r="F2395" s="327"/>
      <c r="G2395" s="327"/>
      <c r="H2395" s="327"/>
      <c r="I2395" s="327"/>
      <c r="J2395" s="327"/>
      <c r="K2395" s="327"/>
      <c r="L2395" s="327"/>
      <c r="M2395" s="327"/>
      <c r="N2395" s="327"/>
    </row>
    <row r="2396" spans="1:14" x14ac:dyDescent="0.15">
      <c r="A2396" s="327"/>
      <c r="B2396" s="327"/>
      <c r="C2396" s="327"/>
      <c r="D2396" s="327"/>
      <c r="E2396" s="327"/>
      <c r="F2396" s="327"/>
      <c r="G2396" s="327"/>
      <c r="H2396" s="327"/>
      <c r="I2396" s="327"/>
      <c r="J2396" s="327"/>
      <c r="K2396" s="327"/>
      <c r="L2396" s="327"/>
      <c r="M2396" s="327"/>
      <c r="N2396" s="327"/>
    </row>
    <row r="2397" spans="1:14" x14ac:dyDescent="0.15">
      <c r="A2397" s="327"/>
      <c r="B2397" s="327"/>
      <c r="C2397" s="327"/>
      <c r="D2397" s="327"/>
      <c r="E2397" s="327"/>
      <c r="F2397" s="327"/>
      <c r="G2397" s="327"/>
      <c r="H2397" s="327"/>
      <c r="I2397" s="327"/>
      <c r="J2397" s="327"/>
      <c r="K2397" s="327"/>
      <c r="L2397" s="327"/>
      <c r="M2397" s="327"/>
      <c r="N2397" s="327"/>
    </row>
    <row r="2398" spans="1:14" x14ac:dyDescent="0.15">
      <c r="A2398" s="327"/>
      <c r="B2398" s="327"/>
      <c r="C2398" s="327"/>
      <c r="D2398" s="327"/>
      <c r="E2398" s="327"/>
      <c r="F2398" s="327"/>
      <c r="G2398" s="327"/>
      <c r="H2398" s="327"/>
      <c r="I2398" s="327"/>
      <c r="J2398" s="327"/>
      <c r="K2398" s="327"/>
      <c r="L2398" s="327"/>
      <c r="M2398" s="327"/>
      <c r="N2398" s="327"/>
    </row>
    <row r="2399" spans="1:14" x14ac:dyDescent="0.15">
      <c r="A2399" s="327"/>
      <c r="B2399" s="327"/>
      <c r="C2399" s="327"/>
      <c r="D2399" s="327"/>
      <c r="E2399" s="327"/>
      <c r="F2399" s="327"/>
      <c r="G2399" s="327"/>
      <c r="H2399" s="327"/>
      <c r="I2399" s="327"/>
      <c r="J2399" s="327"/>
      <c r="K2399" s="327"/>
      <c r="L2399" s="327"/>
      <c r="M2399" s="327"/>
      <c r="N2399" s="327"/>
    </row>
    <row r="2400" spans="1:14" x14ac:dyDescent="0.15">
      <c r="A2400" s="327"/>
      <c r="B2400" s="327"/>
      <c r="C2400" s="327"/>
      <c r="D2400" s="327"/>
      <c r="E2400" s="327"/>
      <c r="F2400" s="327"/>
      <c r="G2400" s="327"/>
      <c r="H2400" s="327"/>
      <c r="I2400" s="327"/>
      <c r="J2400" s="327"/>
      <c r="K2400" s="327"/>
      <c r="L2400" s="327"/>
      <c r="M2400" s="327"/>
      <c r="N2400" s="327"/>
    </row>
    <row r="2401" spans="1:14" x14ac:dyDescent="0.15">
      <c r="A2401" s="327"/>
      <c r="B2401" s="327"/>
      <c r="C2401" s="327"/>
      <c r="D2401" s="327"/>
      <c r="E2401" s="327"/>
      <c r="F2401" s="327"/>
      <c r="G2401" s="327"/>
      <c r="H2401" s="327"/>
      <c r="I2401" s="327"/>
      <c r="J2401" s="327"/>
      <c r="K2401" s="327"/>
      <c r="L2401" s="327"/>
      <c r="M2401" s="327"/>
      <c r="N2401" s="327"/>
    </row>
    <row r="2402" spans="1:14" x14ac:dyDescent="0.15">
      <c r="A2402" s="327"/>
      <c r="B2402" s="327"/>
      <c r="C2402" s="327"/>
      <c r="D2402" s="327"/>
      <c r="E2402" s="327"/>
      <c r="F2402" s="327"/>
      <c r="G2402" s="327"/>
      <c r="H2402" s="327"/>
      <c r="I2402" s="327"/>
      <c r="J2402" s="327"/>
      <c r="K2402" s="327"/>
      <c r="L2402" s="327"/>
      <c r="M2402" s="327"/>
      <c r="N2402" s="327"/>
    </row>
    <row r="2403" spans="1:14" x14ac:dyDescent="0.15">
      <c r="A2403" s="327"/>
      <c r="B2403" s="327"/>
      <c r="C2403" s="327"/>
      <c r="D2403" s="327"/>
      <c r="E2403" s="327"/>
      <c r="F2403" s="327"/>
      <c r="G2403" s="327"/>
      <c r="H2403" s="327"/>
      <c r="I2403" s="327"/>
      <c r="J2403" s="327"/>
      <c r="K2403" s="327"/>
      <c r="L2403" s="327"/>
      <c r="M2403" s="327"/>
      <c r="N2403" s="327"/>
    </row>
    <row r="2404" spans="1:14" x14ac:dyDescent="0.15">
      <c r="A2404" s="327"/>
      <c r="B2404" s="327"/>
      <c r="C2404" s="327"/>
      <c r="D2404" s="327"/>
      <c r="E2404" s="327"/>
      <c r="F2404" s="327"/>
      <c r="G2404" s="327"/>
      <c r="H2404" s="327"/>
      <c r="I2404" s="327"/>
      <c r="J2404" s="327"/>
      <c r="K2404" s="327"/>
      <c r="L2404" s="327"/>
      <c r="M2404" s="327"/>
      <c r="N2404" s="327"/>
    </row>
    <row r="2405" spans="1:14" x14ac:dyDescent="0.15">
      <c r="A2405" s="327"/>
      <c r="B2405" s="327"/>
      <c r="C2405" s="327"/>
      <c r="D2405" s="327"/>
      <c r="E2405" s="327"/>
      <c r="F2405" s="327"/>
      <c r="G2405" s="327"/>
      <c r="H2405" s="327"/>
      <c r="I2405" s="327"/>
      <c r="J2405" s="327"/>
      <c r="K2405" s="327"/>
      <c r="L2405" s="327"/>
      <c r="M2405" s="327"/>
      <c r="N2405" s="327"/>
    </row>
    <row r="2406" spans="1:14" x14ac:dyDescent="0.15">
      <c r="A2406" s="327"/>
      <c r="B2406" s="327"/>
      <c r="C2406" s="327"/>
      <c r="D2406" s="327"/>
      <c r="E2406" s="327"/>
      <c r="F2406" s="327"/>
      <c r="G2406" s="327"/>
      <c r="H2406" s="327"/>
      <c r="I2406" s="327"/>
      <c r="J2406" s="327"/>
      <c r="K2406" s="327"/>
      <c r="L2406" s="327"/>
      <c r="M2406" s="327"/>
      <c r="N2406" s="327"/>
    </row>
    <row r="2407" spans="1:14" x14ac:dyDescent="0.15">
      <c r="A2407" s="327"/>
      <c r="B2407" s="327"/>
      <c r="C2407" s="327"/>
      <c r="D2407" s="327"/>
      <c r="E2407" s="327"/>
      <c r="F2407" s="327"/>
      <c r="G2407" s="327"/>
      <c r="H2407" s="327"/>
      <c r="I2407" s="327"/>
      <c r="J2407" s="327"/>
      <c r="K2407" s="327"/>
      <c r="L2407" s="327"/>
      <c r="M2407" s="327"/>
      <c r="N2407" s="327"/>
    </row>
    <row r="2408" spans="1:14" x14ac:dyDescent="0.15">
      <c r="A2408" s="327"/>
      <c r="B2408" s="327"/>
      <c r="C2408" s="327"/>
      <c r="D2408" s="327"/>
      <c r="E2408" s="327"/>
      <c r="F2408" s="327"/>
      <c r="G2408" s="327"/>
      <c r="H2408" s="327"/>
      <c r="I2408" s="327"/>
      <c r="J2408" s="327"/>
      <c r="K2408" s="327"/>
      <c r="L2408" s="327"/>
      <c r="M2408" s="327"/>
      <c r="N2408" s="327"/>
    </row>
    <row r="2409" spans="1:14" x14ac:dyDescent="0.15">
      <c r="A2409" s="327"/>
      <c r="B2409" s="327"/>
      <c r="C2409" s="327"/>
      <c r="D2409" s="327"/>
      <c r="E2409" s="327"/>
      <c r="F2409" s="327"/>
      <c r="G2409" s="327"/>
      <c r="H2409" s="327"/>
      <c r="I2409" s="327"/>
      <c r="J2409" s="327"/>
      <c r="K2409" s="327"/>
      <c r="L2409" s="327"/>
      <c r="M2409" s="327"/>
      <c r="N2409" s="327"/>
    </row>
    <row r="2410" spans="1:14" x14ac:dyDescent="0.15">
      <c r="A2410" s="327"/>
      <c r="B2410" s="327"/>
      <c r="C2410" s="327"/>
      <c r="D2410" s="327"/>
      <c r="E2410" s="327"/>
      <c r="F2410" s="327"/>
      <c r="G2410" s="327"/>
      <c r="H2410" s="327"/>
      <c r="I2410" s="327"/>
      <c r="J2410" s="327"/>
      <c r="K2410" s="327"/>
      <c r="L2410" s="327"/>
      <c r="M2410" s="327"/>
      <c r="N2410" s="327"/>
    </row>
    <row r="2411" spans="1:14" x14ac:dyDescent="0.15">
      <c r="A2411" s="327"/>
      <c r="B2411" s="327"/>
      <c r="C2411" s="327"/>
      <c r="D2411" s="327"/>
      <c r="E2411" s="327"/>
      <c r="F2411" s="327"/>
      <c r="G2411" s="327"/>
      <c r="H2411" s="327"/>
      <c r="I2411" s="327"/>
      <c r="J2411" s="327"/>
      <c r="K2411" s="327"/>
      <c r="L2411" s="327"/>
      <c r="M2411" s="327"/>
      <c r="N2411" s="327"/>
    </row>
    <row r="2412" spans="1:14" x14ac:dyDescent="0.15">
      <c r="A2412" s="327"/>
      <c r="B2412" s="327"/>
      <c r="C2412" s="327"/>
      <c r="D2412" s="327"/>
      <c r="E2412" s="327"/>
      <c r="F2412" s="327"/>
      <c r="G2412" s="327"/>
      <c r="H2412" s="327"/>
      <c r="I2412" s="327"/>
      <c r="J2412" s="327"/>
      <c r="K2412" s="327"/>
      <c r="L2412" s="327"/>
      <c r="M2412" s="327"/>
      <c r="N2412" s="327"/>
    </row>
    <row r="2413" spans="1:14" x14ac:dyDescent="0.15">
      <c r="A2413" s="327"/>
      <c r="B2413" s="327"/>
      <c r="C2413" s="327"/>
      <c r="D2413" s="327"/>
      <c r="E2413" s="327"/>
      <c r="F2413" s="327"/>
      <c r="G2413" s="327"/>
      <c r="H2413" s="327"/>
      <c r="I2413" s="327"/>
      <c r="J2413" s="327"/>
      <c r="K2413" s="327"/>
      <c r="L2413" s="327"/>
      <c r="M2413" s="327"/>
      <c r="N2413" s="327"/>
    </row>
    <row r="2414" spans="1:14" x14ac:dyDescent="0.15">
      <c r="A2414" s="327"/>
      <c r="B2414" s="327"/>
      <c r="C2414" s="327"/>
      <c r="D2414" s="327"/>
      <c r="E2414" s="327"/>
      <c r="F2414" s="327"/>
      <c r="G2414" s="327"/>
      <c r="H2414" s="327"/>
      <c r="I2414" s="327"/>
      <c r="J2414" s="327"/>
      <c r="K2414" s="327"/>
      <c r="L2414" s="327"/>
      <c r="M2414" s="327"/>
      <c r="N2414" s="327"/>
    </row>
    <row r="2415" spans="1:14" x14ac:dyDescent="0.15">
      <c r="A2415" s="327"/>
      <c r="B2415" s="327"/>
      <c r="C2415" s="327"/>
      <c r="D2415" s="327"/>
      <c r="E2415" s="327"/>
      <c r="F2415" s="327"/>
      <c r="G2415" s="327"/>
      <c r="H2415" s="327"/>
      <c r="I2415" s="327"/>
      <c r="J2415" s="327"/>
      <c r="K2415" s="327"/>
      <c r="L2415" s="327"/>
      <c r="M2415" s="327"/>
      <c r="N2415" s="327"/>
    </row>
    <row r="2416" spans="1:14" x14ac:dyDescent="0.15">
      <c r="A2416" s="327"/>
      <c r="B2416" s="327"/>
      <c r="C2416" s="327"/>
      <c r="D2416" s="327"/>
      <c r="E2416" s="327"/>
      <c r="F2416" s="327"/>
      <c r="G2416" s="327"/>
      <c r="H2416" s="327"/>
      <c r="I2416" s="327"/>
      <c r="J2416" s="327"/>
      <c r="K2416" s="327"/>
      <c r="L2416" s="327"/>
      <c r="M2416" s="327"/>
      <c r="N2416" s="327"/>
    </row>
    <row r="2417" spans="1:14" x14ac:dyDescent="0.15">
      <c r="A2417" s="327"/>
      <c r="B2417" s="327"/>
      <c r="C2417" s="327"/>
      <c r="D2417" s="327"/>
      <c r="E2417" s="327"/>
      <c r="F2417" s="327"/>
      <c r="G2417" s="327"/>
      <c r="H2417" s="327"/>
      <c r="I2417" s="327"/>
      <c r="J2417" s="327"/>
      <c r="K2417" s="327"/>
      <c r="L2417" s="327"/>
      <c r="M2417" s="327"/>
      <c r="N2417" s="327"/>
    </row>
    <row r="2418" spans="1:14" x14ac:dyDescent="0.15">
      <c r="A2418" s="327"/>
      <c r="B2418" s="327"/>
      <c r="C2418" s="327"/>
      <c r="D2418" s="327"/>
      <c r="E2418" s="327"/>
      <c r="F2418" s="327"/>
      <c r="G2418" s="327"/>
      <c r="H2418" s="327"/>
      <c r="I2418" s="327"/>
      <c r="J2418" s="327"/>
      <c r="K2418" s="327"/>
      <c r="L2418" s="327"/>
      <c r="M2418" s="327"/>
      <c r="N2418" s="327"/>
    </row>
    <row r="2419" spans="1:14" x14ac:dyDescent="0.15">
      <c r="A2419" s="327"/>
      <c r="B2419" s="327"/>
      <c r="C2419" s="327"/>
      <c r="D2419" s="327"/>
      <c r="E2419" s="327"/>
      <c r="F2419" s="327"/>
      <c r="G2419" s="327"/>
      <c r="H2419" s="327"/>
      <c r="I2419" s="327"/>
      <c r="J2419" s="327"/>
      <c r="K2419" s="327"/>
      <c r="L2419" s="327"/>
      <c r="M2419" s="327"/>
      <c r="N2419" s="327"/>
    </row>
    <row r="2420" spans="1:14" x14ac:dyDescent="0.15">
      <c r="A2420" s="327"/>
      <c r="B2420" s="327"/>
      <c r="C2420" s="327"/>
      <c r="D2420" s="327"/>
      <c r="E2420" s="327"/>
      <c r="F2420" s="327"/>
      <c r="G2420" s="327"/>
      <c r="H2420" s="327"/>
      <c r="I2420" s="327"/>
      <c r="J2420" s="327"/>
      <c r="K2420" s="327"/>
      <c r="L2420" s="327"/>
      <c r="M2420" s="327"/>
      <c r="N2420" s="327"/>
    </row>
    <row r="2421" spans="1:14" x14ac:dyDescent="0.15">
      <c r="A2421" s="327"/>
      <c r="B2421" s="327"/>
      <c r="C2421" s="327"/>
      <c r="D2421" s="327"/>
      <c r="E2421" s="327"/>
      <c r="F2421" s="327"/>
      <c r="G2421" s="327"/>
      <c r="H2421" s="327"/>
      <c r="I2421" s="327"/>
      <c r="J2421" s="327"/>
      <c r="K2421" s="327"/>
      <c r="L2421" s="327"/>
      <c r="M2421" s="327"/>
      <c r="N2421" s="327"/>
    </row>
    <row r="2422" spans="1:14" x14ac:dyDescent="0.15">
      <c r="A2422" s="327"/>
      <c r="B2422" s="327"/>
      <c r="C2422" s="327"/>
      <c r="D2422" s="327"/>
      <c r="E2422" s="327"/>
      <c r="F2422" s="327"/>
      <c r="G2422" s="327"/>
      <c r="H2422" s="327"/>
      <c r="I2422" s="327"/>
      <c r="J2422" s="327"/>
      <c r="K2422" s="327"/>
      <c r="L2422" s="327"/>
      <c r="M2422" s="327"/>
      <c r="N2422" s="327"/>
    </row>
    <row r="2423" spans="1:14" x14ac:dyDescent="0.15">
      <c r="A2423" s="327"/>
      <c r="B2423" s="327"/>
      <c r="C2423" s="327"/>
      <c r="D2423" s="327"/>
      <c r="E2423" s="327"/>
      <c r="F2423" s="327"/>
      <c r="G2423" s="327"/>
      <c r="H2423" s="327"/>
      <c r="I2423" s="327"/>
      <c r="J2423" s="327"/>
      <c r="K2423" s="327"/>
      <c r="L2423" s="327"/>
      <c r="M2423" s="327"/>
      <c r="N2423" s="327"/>
    </row>
    <row r="2424" spans="1:14" x14ac:dyDescent="0.15">
      <c r="A2424" s="327"/>
      <c r="B2424" s="327"/>
      <c r="C2424" s="327"/>
      <c r="D2424" s="327"/>
      <c r="E2424" s="327"/>
      <c r="F2424" s="327"/>
      <c r="G2424" s="327"/>
      <c r="H2424" s="327"/>
      <c r="I2424" s="327"/>
      <c r="J2424" s="327"/>
      <c r="K2424" s="327"/>
      <c r="L2424" s="327"/>
      <c r="M2424" s="327"/>
      <c r="N2424" s="327"/>
    </row>
    <row r="2425" spans="1:14" x14ac:dyDescent="0.15">
      <c r="A2425" s="327"/>
      <c r="B2425" s="327"/>
      <c r="C2425" s="327"/>
      <c r="D2425" s="327"/>
      <c r="E2425" s="327"/>
      <c r="F2425" s="327"/>
      <c r="G2425" s="327"/>
      <c r="H2425" s="327"/>
      <c r="I2425" s="327"/>
      <c r="J2425" s="327"/>
      <c r="K2425" s="327"/>
      <c r="L2425" s="327"/>
      <c r="M2425" s="327"/>
      <c r="N2425" s="327"/>
    </row>
    <row r="2426" spans="1:14" x14ac:dyDescent="0.15">
      <c r="A2426" s="327"/>
      <c r="B2426" s="327"/>
      <c r="C2426" s="327"/>
      <c r="D2426" s="327"/>
      <c r="E2426" s="327"/>
      <c r="F2426" s="327"/>
      <c r="G2426" s="327"/>
      <c r="H2426" s="327"/>
      <c r="I2426" s="327"/>
      <c r="J2426" s="327"/>
      <c r="K2426" s="327"/>
      <c r="L2426" s="327"/>
      <c r="M2426" s="327"/>
      <c r="N2426" s="327"/>
    </row>
    <row r="2427" spans="1:14" x14ac:dyDescent="0.15">
      <c r="A2427" s="327"/>
      <c r="B2427" s="327"/>
      <c r="C2427" s="327"/>
      <c r="D2427" s="327"/>
      <c r="E2427" s="327"/>
      <c r="F2427" s="327"/>
      <c r="G2427" s="327"/>
      <c r="H2427" s="327"/>
      <c r="I2427" s="327"/>
      <c r="J2427" s="327"/>
      <c r="K2427" s="327"/>
      <c r="L2427" s="327"/>
      <c r="M2427" s="327"/>
      <c r="N2427" s="327"/>
    </row>
    <row r="2428" spans="1:14" x14ac:dyDescent="0.15">
      <c r="A2428" s="327"/>
      <c r="B2428" s="327"/>
      <c r="C2428" s="327"/>
      <c r="D2428" s="327"/>
      <c r="E2428" s="327"/>
      <c r="F2428" s="327"/>
      <c r="G2428" s="327"/>
      <c r="H2428" s="327"/>
      <c r="I2428" s="327"/>
      <c r="J2428" s="327"/>
      <c r="K2428" s="327"/>
      <c r="L2428" s="327"/>
      <c r="M2428" s="327"/>
      <c r="N2428" s="327"/>
    </row>
    <row r="2429" spans="1:14" x14ac:dyDescent="0.15">
      <c r="A2429" s="327"/>
      <c r="B2429" s="327"/>
      <c r="C2429" s="327"/>
      <c r="D2429" s="327"/>
      <c r="E2429" s="327"/>
      <c r="F2429" s="327"/>
      <c r="G2429" s="327"/>
      <c r="H2429" s="327"/>
      <c r="I2429" s="327"/>
      <c r="J2429" s="327"/>
      <c r="K2429" s="327"/>
      <c r="L2429" s="327"/>
      <c r="M2429" s="327"/>
      <c r="N2429" s="327"/>
    </row>
    <row r="2430" spans="1:14" x14ac:dyDescent="0.15">
      <c r="A2430" s="327"/>
      <c r="B2430" s="327"/>
      <c r="C2430" s="327"/>
      <c r="D2430" s="327"/>
      <c r="E2430" s="327"/>
      <c r="F2430" s="327"/>
      <c r="G2430" s="327"/>
      <c r="H2430" s="327"/>
      <c r="I2430" s="327"/>
      <c r="J2430" s="327"/>
      <c r="K2430" s="327"/>
      <c r="L2430" s="327"/>
      <c r="M2430" s="327"/>
      <c r="N2430" s="327"/>
    </row>
    <row r="2431" spans="1:14" x14ac:dyDescent="0.15">
      <c r="A2431" s="327"/>
      <c r="B2431" s="327"/>
      <c r="C2431" s="327"/>
      <c r="D2431" s="327"/>
      <c r="E2431" s="327"/>
      <c r="F2431" s="327"/>
      <c r="G2431" s="327"/>
      <c r="H2431" s="327"/>
      <c r="I2431" s="327"/>
      <c r="J2431" s="327"/>
      <c r="K2431" s="327"/>
      <c r="L2431" s="327"/>
      <c r="M2431" s="327"/>
      <c r="N2431" s="327"/>
    </row>
    <row r="2432" spans="1:14" x14ac:dyDescent="0.15">
      <c r="A2432" s="327"/>
      <c r="B2432" s="327"/>
      <c r="C2432" s="327"/>
      <c r="D2432" s="327"/>
      <c r="E2432" s="327"/>
      <c r="F2432" s="327"/>
      <c r="G2432" s="327"/>
      <c r="H2432" s="327"/>
      <c r="I2432" s="327"/>
      <c r="J2432" s="327"/>
      <c r="K2432" s="327"/>
      <c r="L2432" s="327"/>
      <c r="M2432" s="327"/>
      <c r="N2432" s="327"/>
    </row>
    <row r="2433" spans="1:14" x14ac:dyDescent="0.15">
      <c r="A2433" s="327"/>
      <c r="B2433" s="327"/>
      <c r="C2433" s="327"/>
      <c r="D2433" s="327"/>
      <c r="E2433" s="327"/>
      <c r="F2433" s="327"/>
      <c r="G2433" s="327"/>
      <c r="H2433" s="327"/>
      <c r="I2433" s="327"/>
      <c r="J2433" s="327"/>
      <c r="K2433" s="327"/>
      <c r="L2433" s="327"/>
      <c r="M2433" s="327"/>
      <c r="N2433" s="327"/>
    </row>
    <row r="2434" spans="1:14" x14ac:dyDescent="0.15">
      <c r="A2434" s="327"/>
      <c r="B2434" s="327"/>
      <c r="C2434" s="327"/>
      <c r="D2434" s="327"/>
      <c r="E2434" s="327"/>
      <c r="F2434" s="327"/>
      <c r="G2434" s="327"/>
      <c r="H2434" s="327"/>
      <c r="I2434" s="327"/>
      <c r="J2434" s="327"/>
      <c r="K2434" s="327"/>
      <c r="L2434" s="327"/>
      <c r="M2434" s="327"/>
      <c r="N2434" s="327"/>
    </row>
    <row r="2435" spans="1:14" x14ac:dyDescent="0.15">
      <c r="A2435" s="327"/>
      <c r="B2435" s="327"/>
      <c r="C2435" s="327"/>
      <c r="D2435" s="327"/>
      <c r="E2435" s="327"/>
      <c r="F2435" s="327"/>
      <c r="G2435" s="327"/>
      <c r="H2435" s="327"/>
      <c r="I2435" s="327"/>
      <c r="J2435" s="327"/>
      <c r="K2435" s="327"/>
      <c r="L2435" s="327"/>
      <c r="M2435" s="327"/>
      <c r="N2435" s="327"/>
    </row>
    <row r="2436" spans="1:14" x14ac:dyDescent="0.15">
      <c r="A2436" s="327"/>
      <c r="B2436" s="327"/>
      <c r="C2436" s="327"/>
      <c r="D2436" s="327"/>
      <c r="E2436" s="327"/>
      <c r="F2436" s="327"/>
      <c r="G2436" s="327"/>
      <c r="H2436" s="327"/>
      <c r="I2436" s="327"/>
      <c r="J2436" s="327"/>
      <c r="K2436" s="327"/>
      <c r="L2436" s="327"/>
      <c r="M2436" s="327"/>
      <c r="N2436" s="327"/>
    </row>
    <row r="2437" spans="1:14" x14ac:dyDescent="0.15">
      <c r="A2437" s="327"/>
      <c r="B2437" s="327"/>
      <c r="C2437" s="327"/>
      <c r="D2437" s="327"/>
      <c r="E2437" s="327"/>
      <c r="F2437" s="327"/>
      <c r="G2437" s="327"/>
      <c r="H2437" s="327"/>
      <c r="I2437" s="327"/>
      <c r="J2437" s="327"/>
      <c r="K2437" s="327"/>
      <c r="L2437" s="327"/>
      <c r="M2437" s="327"/>
      <c r="N2437" s="327"/>
    </row>
    <row r="2438" spans="1:14" x14ac:dyDescent="0.15">
      <c r="A2438" s="327"/>
      <c r="B2438" s="327"/>
      <c r="C2438" s="327"/>
      <c r="D2438" s="327"/>
      <c r="E2438" s="327"/>
      <c r="F2438" s="327"/>
      <c r="G2438" s="327"/>
      <c r="H2438" s="327"/>
      <c r="I2438" s="327"/>
      <c r="J2438" s="327"/>
      <c r="K2438" s="327"/>
      <c r="L2438" s="327"/>
      <c r="M2438" s="327"/>
      <c r="N2438" s="327"/>
    </row>
    <row r="2439" spans="1:14" x14ac:dyDescent="0.15">
      <c r="A2439" s="327"/>
      <c r="B2439" s="327"/>
      <c r="C2439" s="327"/>
      <c r="D2439" s="327"/>
      <c r="E2439" s="327"/>
      <c r="F2439" s="327"/>
      <c r="G2439" s="327"/>
      <c r="H2439" s="327"/>
      <c r="I2439" s="327"/>
      <c r="J2439" s="327"/>
      <c r="K2439" s="327"/>
      <c r="L2439" s="327"/>
      <c r="M2439" s="327"/>
      <c r="N2439" s="327"/>
    </row>
    <row r="2440" spans="1:14" x14ac:dyDescent="0.15">
      <c r="A2440" s="327"/>
      <c r="B2440" s="327"/>
      <c r="C2440" s="327"/>
      <c r="D2440" s="327"/>
      <c r="E2440" s="327"/>
      <c r="F2440" s="327"/>
      <c r="G2440" s="327"/>
      <c r="H2440" s="327"/>
      <c r="I2440" s="327"/>
      <c r="J2440" s="327"/>
      <c r="K2440" s="327"/>
      <c r="L2440" s="327"/>
      <c r="M2440" s="327"/>
      <c r="N2440" s="327"/>
    </row>
    <row r="2441" spans="1:14" x14ac:dyDescent="0.15">
      <c r="A2441" s="327"/>
      <c r="B2441" s="327"/>
      <c r="C2441" s="327"/>
      <c r="D2441" s="327"/>
      <c r="E2441" s="327"/>
      <c r="F2441" s="327"/>
      <c r="G2441" s="327"/>
      <c r="H2441" s="327"/>
      <c r="I2441" s="327"/>
      <c r="J2441" s="327"/>
      <c r="K2441" s="327"/>
      <c r="L2441" s="327"/>
      <c r="M2441" s="327"/>
      <c r="N2441" s="327"/>
    </row>
    <row r="2442" spans="1:14" x14ac:dyDescent="0.15">
      <c r="A2442" s="327"/>
      <c r="B2442" s="327"/>
      <c r="C2442" s="327"/>
      <c r="D2442" s="327"/>
      <c r="E2442" s="327"/>
      <c r="F2442" s="327"/>
      <c r="G2442" s="327"/>
      <c r="H2442" s="327"/>
      <c r="I2442" s="327"/>
      <c r="J2442" s="327"/>
      <c r="K2442" s="327"/>
      <c r="L2442" s="327"/>
      <c r="M2442" s="327"/>
      <c r="N2442" s="327"/>
    </row>
    <row r="2443" spans="1:14" x14ac:dyDescent="0.15">
      <c r="A2443" s="327"/>
      <c r="B2443" s="327"/>
      <c r="C2443" s="327"/>
      <c r="D2443" s="327"/>
      <c r="E2443" s="327"/>
      <c r="F2443" s="327"/>
      <c r="G2443" s="327"/>
      <c r="H2443" s="327"/>
      <c r="I2443" s="327"/>
      <c r="J2443" s="327"/>
      <c r="K2443" s="327"/>
      <c r="L2443" s="327"/>
      <c r="M2443" s="327"/>
      <c r="N2443" s="327"/>
    </row>
    <row r="2444" spans="1:14" x14ac:dyDescent="0.15">
      <c r="A2444" s="327"/>
      <c r="B2444" s="327"/>
      <c r="C2444" s="327"/>
      <c r="D2444" s="327"/>
      <c r="E2444" s="327"/>
      <c r="F2444" s="327"/>
      <c r="G2444" s="327"/>
      <c r="H2444" s="327"/>
      <c r="I2444" s="327"/>
      <c r="J2444" s="327"/>
      <c r="K2444" s="327"/>
      <c r="L2444" s="327"/>
      <c r="M2444" s="327"/>
      <c r="N2444" s="327"/>
    </row>
    <row r="2445" spans="1:14" x14ac:dyDescent="0.15">
      <c r="A2445" s="327"/>
      <c r="B2445" s="327"/>
      <c r="C2445" s="327"/>
      <c r="D2445" s="327"/>
      <c r="E2445" s="327"/>
      <c r="F2445" s="327"/>
      <c r="G2445" s="327"/>
      <c r="H2445" s="327"/>
      <c r="I2445" s="327"/>
      <c r="J2445" s="327"/>
      <c r="K2445" s="327"/>
      <c r="L2445" s="327"/>
      <c r="M2445" s="327"/>
      <c r="N2445" s="327"/>
    </row>
    <row r="2446" spans="1:14" x14ac:dyDescent="0.15">
      <c r="A2446" s="327"/>
      <c r="B2446" s="327"/>
      <c r="C2446" s="327"/>
      <c r="D2446" s="327"/>
      <c r="E2446" s="327"/>
      <c r="F2446" s="327"/>
      <c r="G2446" s="327"/>
      <c r="H2446" s="327"/>
      <c r="I2446" s="327"/>
      <c r="J2446" s="327"/>
      <c r="K2446" s="327"/>
      <c r="L2446" s="327"/>
      <c r="M2446" s="327"/>
      <c r="N2446" s="327"/>
    </row>
    <row r="2447" spans="1:14" x14ac:dyDescent="0.15">
      <c r="A2447" s="327"/>
      <c r="B2447" s="327"/>
      <c r="C2447" s="327"/>
      <c r="D2447" s="327"/>
      <c r="E2447" s="327"/>
      <c r="F2447" s="327"/>
      <c r="G2447" s="327"/>
      <c r="H2447" s="327"/>
      <c r="I2447" s="327"/>
      <c r="J2447" s="327"/>
      <c r="K2447" s="327"/>
      <c r="L2447" s="327"/>
      <c r="M2447" s="327"/>
      <c r="N2447" s="327"/>
    </row>
    <row r="2448" spans="1:14" x14ac:dyDescent="0.15">
      <c r="A2448" s="327"/>
      <c r="B2448" s="327"/>
      <c r="C2448" s="327"/>
      <c r="D2448" s="327"/>
      <c r="E2448" s="327"/>
      <c r="F2448" s="327"/>
      <c r="G2448" s="327"/>
      <c r="H2448" s="327"/>
      <c r="I2448" s="327"/>
      <c r="J2448" s="327"/>
      <c r="K2448" s="327"/>
      <c r="L2448" s="327"/>
      <c r="M2448" s="327"/>
      <c r="N2448" s="327"/>
    </row>
    <row r="2449" spans="1:14" x14ac:dyDescent="0.15">
      <c r="A2449" s="327"/>
      <c r="B2449" s="327"/>
      <c r="C2449" s="327"/>
      <c r="D2449" s="327"/>
      <c r="E2449" s="327"/>
      <c r="F2449" s="327"/>
      <c r="G2449" s="327"/>
      <c r="H2449" s="327"/>
      <c r="I2449" s="327"/>
      <c r="J2449" s="327"/>
      <c r="K2449" s="327"/>
      <c r="L2449" s="327"/>
      <c r="M2449" s="327"/>
      <c r="N2449" s="327"/>
    </row>
    <row r="2450" spans="1:14" x14ac:dyDescent="0.15">
      <c r="A2450" s="327"/>
      <c r="B2450" s="327"/>
      <c r="C2450" s="327"/>
      <c r="D2450" s="327"/>
      <c r="E2450" s="327"/>
      <c r="F2450" s="327"/>
      <c r="G2450" s="327"/>
      <c r="H2450" s="327"/>
      <c r="I2450" s="327"/>
      <c r="J2450" s="327"/>
      <c r="K2450" s="327"/>
      <c r="L2450" s="327"/>
      <c r="M2450" s="327"/>
      <c r="N2450" s="327"/>
    </row>
    <row r="2451" spans="1:14" x14ac:dyDescent="0.15">
      <c r="A2451" s="327"/>
      <c r="B2451" s="327"/>
      <c r="C2451" s="327"/>
      <c r="D2451" s="327"/>
      <c r="E2451" s="327"/>
      <c r="F2451" s="327"/>
      <c r="G2451" s="327"/>
      <c r="H2451" s="327"/>
      <c r="I2451" s="327"/>
      <c r="J2451" s="327"/>
      <c r="K2451" s="327"/>
      <c r="L2451" s="327"/>
      <c r="M2451" s="327"/>
      <c r="N2451" s="327"/>
    </row>
    <row r="2452" spans="1:14" x14ac:dyDescent="0.15">
      <c r="A2452" s="327"/>
      <c r="B2452" s="327"/>
      <c r="C2452" s="327"/>
      <c r="D2452" s="327"/>
      <c r="E2452" s="327"/>
      <c r="F2452" s="327"/>
      <c r="G2452" s="327"/>
      <c r="H2452" s="327"/>
      <c r="I2452" s="327"/>
      <c r="J2452" s="327"/>
      <c r="K2452" s="327"/>
      <c r="L2452" s="327"/>
      <c r="M2452" s="327"/>
      <c r="N2452" s="327"/>
    </row>
    <row r="2453" spans="1:14" x14ac:dyDescent="0.15">
      <c r="A2453" s="327"/>
      <c r="B2453" s="327"/>
      <c r="C2453" s="327"/>
      <c r="D2453" s="327"/>
      <c r="E2453" s="327"/>
      <c r="F2453" s="327"/>
      <c r="G2453" s="327"/>
      <c r="H2453" s="327"/>
      <c r="I2453" s="327"/>
      <c r="J2453" s="327"/>
      <c r="K2453" s="327"/>
      <c r="L2453" s="327"/>
      <c r="M2453" s="327"/>
      <c r="N2453" s="327"/>
    </row>
    <row r="2454" spans="1:14" x14ac:dyDescent="0.15">
      <c r="A2454" s="327"/>
      <c r="B2454" s="327"/>
      <c r="C2454" s="327"/>
      <c r="D2454" s="327"/>
      <c r="E2454" s="327"/>
      <c r="F2454" s="327"/>
      <c r="G2454" s="327"/>
      <c r="H2454" s="327"/>
      <c r="I2454" s="327"/>
      <c r="J2454" s="327"/>
      <c r="K2454" s="327"/>
      <c r="L2454" s="327"/>
      <c r="M2454" s="327"/>
      <c r="N2454" s="327"/>
    </row>
    <row r="2455" spans="1:14" x14ac:dyDescent="0.15">
      <c r="A2455" s="327"/>
      <c r="B2455" s="327"/>
      <c r="C2455" s="327"/>
      <c r="D2455" s="327"/>
      <c r="E2455" s="327"/>
      <c r="F2455" s="327"/>
      <c r="G2455" s="327"/>
      <c r="H2455" s="327"/>
      <c r="I2455" s="327"/>
      <c r="J2455" s="327"/>
      <c r="K2455" s="327"/>
      <c r="L2455" s="327"/>
      <c r="M2455" s="327"/>
      <c r="N2455" s="327"/>
    </row>
    <row r="2456" spans="1:14" x14ac:dyDescent="0.15">
      <c r="A2456" s="327"/>
      <c r="B2456" s="327"/>
      <c r="C2456" s="327"/>
      <c r="D2456" s="327"/>
      <c r="E2456" s="327"/>
      <c r="F2456" s="327"/>
      <c r="G2456" s="327"/>
      <c r="H2456" s="327"/>
      <c r="I2456" s="327"/>
      <c r="J2456" s="327"/>
      <c r="K2456" s="327"/>
      <c r="L2456" s="327"/>
      <c r="M2456" s="327"/>
      <c r="N2456" s="327"/>
    </row>
    <row r="2457" spans="1:14" x14ac:dyDescent="0.15">
      <c r="A2457" s="327"/>
      <c r="B2457" s="327"/>
      <c r="C2457" s="327"/>
      <c r="D2457" s="327"/>
      <c r="E2457" s="327"/>
      <c r="F2457" s="327"/>
      <c r="G2457" s="327"/>
      <c r="H2457" s="327"/>
      <c r="I2457" s="327"/>
      <c r="J2457" s="327"/>
      <c r="K2457" s="327"/>
      <c r="L2457" s="327"/>
      <c r="M2457" s="327"/>
      <c r="N2457" s="327"/>
    </row>
    <row r="2458" spans="1:14" x14ac:dyDescent="0.15">
      <c r="A2458" s="327"/>
      <c r="B2458" s="327"/>
      <c r="C2458" s="327"/>
      <c r="D2458" s="327"/>
      <c r="E2458" s="327"/>
      <c r="F2458" s="327"/>
      <c r="G2458" s="327"/>
      <c r="H2458" s="327"/>
      <c r="I2458" s="327"/>
      <c r="J2458" s="327"/>
      <c r="K2458" s="327"/>
      <c r="L2458" s="327"/>
      <c r="M2458" s="327"/>
      <c r="N2458" s="327"/>
    </row>
    <row r="2459" spans="1:14" x14ac:dyDescent="0.15">
      <c r="A2459" s="327"/>
      <c r="B2459" s="327"/>
      <c r="C2459" s="327"/>
      <c r="D2459" s="327"/>
      <c r="E2459" s="327"/>
      <c r="F2459" s="327"/>
      <c r="G2459" s="327"/>
      <c r="H2459" s="327"/>
      <c r="I2459" s="327"/>
      <c r="J2459" s="327"/>
      <c r="K2459" s="327"/>
      <c r="L2459" s="327"/>
      <c r="M2459" s="327"/>
      <c r="N2459" s="327"/>
    </row>
    <row r="2460" spans="1:14" x14ac:dyDescent="0.15">
      <c r="A2460" s="327"/>
      <c r="B2460" s="327"/>
      <c r="C2460" s="327"/>
      <c r="D2460" s="327"/>
      <c r="E2460" s="327"/>
      <c r="F2460" s="327"/>
      <c r="G2460" s="327"/>
      <c r="H2460" s="327"/>
      <c r="I2460" s="327"/>
      <c r="J2460" s="327"/>
      <c r="K2460" s="327"/>
      <c r="L2460" s="327"/>
      <c r="M2460" s="327"/>
      <c r="N2460" s="327"/>
    </row>
  </sheetData>
  <phoneticPr fontId="2" type="noConversion"/>
  <conditionalFormatting sqref="K1 B1:J2 L1:N2 A3:M1048576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K1"/>
  <sheetViews>
    <sheetView showGridLines="0" workbookViewId="0">
      <selection activeCell="H51" sqref="H51"/>
    </sheetView>
  </sheetViews>
  <sheetFormatPr baseColWidth="10" defaultColWidth="8.83203125" defaultRowHeight="13" x14ac:dyDescent="0.15"/>
  <cols>
    <col min="7" max="7" width="11" bestFit="1" customWidth="1"/>
  </cols>
  <sheetData>
    <row r="1" spans="1:11" s="4" customFormat="1" ht="14" x14ac:dyDescent="0.2">
      <c r="A1" s="4" t="str">
        <f>'Fermentation recipe'!A5</f>
        <v>Experiment title</v>
      </c>
      <c r="C1" s="423" t="str">
        <f>'Fermentation recipe'!B5</f>
        <v>SER_C002</v>
      </c>
      <c r="D1" s="423"/>
      <c r="E1" s="424" t="s">
        <v>13</v>
      </c>
      <c r="F1" s="424"/>
      <c r="G1" s="7" t="str">
        <f>'Fermentation recipe'!B7</f>
        <v>R1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0"/>
  <sheetViews>
    <sheetView workbookViewId="0">
      <selection activeCell="E29" sqref="E29"/>
    </sheetView>
  </sheetViews>
  <sheetFormatPr baseColWidth="10" defaultColWidth="8.83203125" defaultRowHeight="13" x14ac:dyDescent="0.15"/>
  <cols>
    <col min="1" max="1" width="11.33203125" bestFit="1" customWidth="1"/>
    <col min="2" max="2" width="20.1640625" customWidth="1"/>
    <col min="3" max="3" width="11.83203125" bestFit="1" customWidth="1"/>
    <col min="4" max="4" width="9.6640625" bestFit="1" customWidth="1"/>
    <col min="5" max="5" width="17.83203125" bestFit="1" customWidth="1"/>
    <col min="6" max="6" width="19.1640625" customWidth="1"/>
    <col min="7" max="7" width="15.83203125" bestFit="1" customWidth="1"/>
    <col min="8" max="8" width="17.6640625" customWidth="1"/>
  </cols>
  <sheetData>
    <row r="1" spans="1:8" x14ac:dyDescent="0.15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15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15">
      <c r="A3" s="1"/>
      <c r="C3" s="15"/>
    </row>
    <row r="4" spans="1:8" x14ac:dyDescent="0.15">
      <c r="A4" s="2" t="s">
        <v>45</v>
      </c>
      <c r="C4" s="16"/>
      <c r="D4" s="13"/>
      <c r="E4" s="13"/>
      <c r="F4" s="13"/>
      <c r="G4" s="13"/>
    </row>
    <row r="5" spans="1:8" ht="14" x14ac:dyDescent="0.15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x14ac:dyDescent="0.15">
      <c r="A7" s="2" t="s">
        <v>48</v>
      </c>
      <c r="C7" s="16"/>
      <c r="D7" s="13"/>
      <c r="E7" s="13"/>
      <c r="F7" s="13"/>
      <c r="G7" s="13"/>
    </row>
    <row r="8" spans="1:8" ht="14" x14ac:dyDescent="0.15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x14ac:dyDescent="0.15">
      <c r="A10" s="2" t="s">
        <v>275</v>
      </c>
    </row>
    <row r="11" spans="1:8" ht="14" x14ac:dyDescent="0.15">
      <c r="A11" s="39" t="s">
        <v>278</v>
      </c>
      <c r="B11" t="s">
        <v>276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277</v>
      </c>
    </row>
    <row r="13" spans="1:8" x14ac:dyDescent="0.15">
      <c r="A13" s="2"/>
      <c r="C13" s="39"/>
      <c r="D13" s="9"/>
      <c r="E13" s="9"/>
      <c r="F13" s="9"/>
      <c r="G13" s="9"/>
    </row>
    <row r="14" spans="1:8" x14ac:dyDescent="0.15">
      <c r="A14" s="1"/>
      <c r="C14" s="39"/>
      <c r="D14" s="9"/>
      <c r="E14" s="9"/>
      <c r="F14" s="9"/>
      <c r="G14" s="9"/>
    </row>
    <row r="16" spans="1:8" x14ac:dyDescent="0.15">
      <c r="A16" s="2"/>
      <c r="C16" s="39"/>
      <c r="D16" s="9"/>
      <c r="E16" s="9"/>
      <c r="F16" s="9"/>
      <c r="G16" s="9"/>
    </row>
    <row r="17" spans="1:7" x14ac:dyDescent="0.15">
      <c r="A17" s="1"/>
      <c r="C17" s="39"/>
      <c r="D17" s="9"/>
      <c r="E17" s="9"/>
      <c r="F17" s="9"/>
      <c r="G17" s="9"/>
    </row>
    <row r="19" spans="1:7" x14ac:dyDescent="0.15">
      <c r="A19" s="2"/>
      <c r="C19" s="39"/>
      <c r="D19" s="9"/>
      <c r="E19" s="9"/>
      <c r="F19" s="9"/>
      <c r="G19" s="9"/>
    </row>
    <row r="20" spans="1:7" x14ac:dyDescent="0.1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C57" sqref="C57"/>
    </sheetView>
  </sheetViews>
  <sheetFormatPr baseColWidth="10" defaultColWidth="9.1640625" defaultRowHeight="13" x14ac:dyDescent="0.15"/>
  <cols>
    <col min="1" max="1" width="17.6640625" style="334" customWidth="1"/>
    <col min="2" max="2" width="20.6640625" style="334" customWidth="1"/>
    <col min="3" max="3" width="24.1640625" style="334" customWidth="1"/>
    <col min="4" max="4" width="16.6640625" style="334" customWidth="1"/>
    <col min="5" max="5" width="27.1640625" style="334" customWidth="1"/>
    <col min="6" max="6" width="32" style="334" customWidth="1"/>
    <col min="7" max="7" width="34.33203125" style="334" customWidth="1"/>
    <col min="8" max="16384" width="9.1640625" style="334"/>
  </cols>
  <sheetData>
    <row r="1" spans="1:7" ht="26" x14ac:dyDescent="0.15">
      <c r="A1" s="340" t="s">
        <v>193</v>
      </c>
      <c r="B1" s="40" t="s">
        <v>218</v>
      </c>
      <c r="C1" s="343" t="s">
        <v>206</v>
      </c>
      <c r="D1" s="341" t="s">
        <v>219</v>
      </c>
      <c r="E1" s="40" t="s">
        <v>209</v>
      </c>
      <c r="F1" s="40" t="s">
        <v>208</v>
      </c>
      <c r="G1" s="40" t="s">
        <v>221</v>
      </c>
    </row>
    <row r="2" spans="1:7" x14ac:dyDescent="0.15">
      <c r="A2" s="338" t="str">
        <f>CONCATENATE(A1,"conc")</f>
        <v>SM001conc</v>
      </c>
      <c r="B2" s="338">
        <v>1</v>
      </c>
      <c r="C2" s="342">
        <v>75</v>
      </c>
      <c r="D2" s="338">
        <v>1</v>
      </c>
      <c r="E2" s="334">
        <v>1</v>
      </c>
      <c r="F2" s="334">
        <v>1</v>
      </c>
      <c r="G2" s="348">
        <v>10</v>
      </c>
    </row>
    <row r="3" spans="1:7" x14ac:dyDescent="0.15">
      <c r="A3" s="338" t="str">
        <f>CONCATENATE(A1,"unit")</f>
        <v>SM001unit</v>
      </c>
      <c r="B3" s="40" t="s">
        <v>220</v>
      </c>
      <c r="C3" s="338" t="s">
        <v>56</v>
      </c>
      <c r="D3" s="338" t="s">
        <v>3</v>
      </c>
      <c r="E3" s="338" t="s">
        <v>3</v>
      </c>
      <c r="F3" s="338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X60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0.33203125" style="338" bestFit="1" customWidth="1"/>
    <col min="2" max="2" width="32" style="338" bestFit="1" customWidth="1"/>
    <col min="3" max="4" width="32" style="338" customWidth="1"/>
    <col min="5" max="5" width="18.33203125" style="338" bestFit="1" customWidth="1"/>
    <col min="6" max="6" width="25.1640625" style="320" bestFit="1" customWidth="1"/>
    <col min="7" max="7" width="21.33203125" style="338" bestFit="1" customWidth="1"/>
    <col min="8" max="8" width="26.33203125" style="338" bestFit="1" customWidth="1"/>
    <col min="9" max="9" width="23" style="338" bestFit="1" customWidth="1"/>
    <col min="10" max="10" width="21" style="338" bestFit="1" customWidth="1"/>
    <col min="11" max="11" width="25.33203125" style="338" customWidth="1"/>
    <col min="12" max="12" width="20" style="338" bestFit="1" customWidth="1"/>
    <col min="13" max="13" width="19.33203125" style="338" bestFit="1" customWidth="1"/>
    <col min="14" max="14" width="25.83203125" style="334" bestFit="1" customWidth="1"/>
    <col min="15" max="15" width="14.33203125" style="334" bestFit="1" customWidth="1"/>
    <col min="16" max="16384" width="8.83203125" style="334"/>
  </cols>
  <sheetData>
    <row r="1" spans="1:24" ht="16" x14ac:dyDescent="0.25">
      <c r="A1" s="340" t="s">
        <v>198</v>
      </c>
      <c r="B1" s="40" t="s">
        <v>202</v>
      </c>
      <c r="C1" s="40" t="s">
        <v>203</v>
      </c>
      <c r="D1" s="341" t="s">
        <v>15</v>
      </c>
      <c r="E1" s="40" t="s">
        <v>201</v>
      </c>
      <c r="F1" s="349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280</v>
      </c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</row>
    <row r="2" spans="1:24" x14ac:dyDescent="0.15">
      <c r="A2" s="338" t="str">
        <f>CONCATENATE(A1,"conc")</f>
        <v>TM001conc</v>
      </c>
      <c r="B2" s="338">
        <v>2</v>
      </c>
      <c r="C2" s="338">
        <v>10</v>
      </c>
      <c r="D2" s="40" t="s">
        <v>204</v>
      </c>
      <c r="E2" s="342">
        <v>2</v>
      </c>
      <c r="F2" s="320">
        <v>10</v>
      </c>
      <c r="G2" s="338">
        <v>2</v>
      </c>
      <c r="H2" s="338">
        <v>0.3</v>
      </c>
      <c r="I2" s="338">
        <v>4</v>
      </c>
      <c r="J2" s="338">
        <v>1</v>
      </c>
      <c r="K2" s="338">
        <v>1</v>
      </c>
      <c r="L2" s="338">
        <v>1</v>
      </c>
      <c r="M2" s="338">
        <v>10</v>
      </c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</row>
    <row r="3" spans="1:24" x14ac:dyDescent="0.15">
      <c r="A3" s="338" t="str">
        <f>CONCATENATE(A1,"unit")</f>
        <v>TM001unit</v>
      </c>
      <c r="B3" s="40" t="s">
        <v>3</v>
      </c>
      <c r="C3" s="40" t="s">
        <v>3</v>
      </c>
      <c r="D3" s="338" t="s">
        <v>37</v>
      </c>
      <c r="E3" s="40" t="s">
        <v>3</v>
      </c>
      <c r="F3" s="349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281</v>
      </c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</row>
    <row r="4" spans="1:24" x14ac:dyDescent="0.15"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</row>
    <row r="5" spans="1:24" ht="16" x14ac:dyDescent="0.25">
      <c r="A5" s="340" t="s">
        <v>197</v>
      </c>
      <c r="B5" s="40" t="s">
        <v>202</v>
      </c>
      <c r="C5" s="40" t="s">
        <v>203</v>
      </c>
      <c r="D5" s="341" t="s">
        <v>15</v>
      </c>
      <c r="E5" s="40" t="s">
        <v>201</v>
      </c>
      <c r="F5" s="349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280</v>
      </c>
      <c r="N5" s="338"/>
      <c r="O5" s="338"/>
      <c r="P5" s="338"/>
      <c r="Q5" s="338"/>
      <c r="R5" s="338"/>
      <c r="S5" s="338"/>
      <c r="T5" s="338"/>
      <c r="U5" s="338"/>
      <c r="V5" s="338"/>
      <c r="W5" s="338"/>
      <c r="X5" s="338"/>
    </row>
    <row r="6" spans="1:24" x14ac:dyDescent="0.15">
      <c r="A6" s="338" t="str">
        <f>CONCATENATE(A5,"conc")</f>
        <v>TM002conc</v>
      </c>
      <c r="B6" s="338">
        <v>2</v>
      </c>
      <c r="C6" s="338">
        <v>10</v>
      </c>
      <c r="D6" s="40" t="s">
        <v>204</v>
      </c>
      <c r="E6" s="342">
        <v>2</v>
      </c>
      <c r="F6" s="352">
        <v>15</v>
      </c>
      <c r="G6" s="338">
        <v>2</v>
      </c>
      <c r="H6" s="338">
        <v>0.3</v>
      </c>
      <c r="I6" s="338">
        <v>4</v>
      </c>
      <c r="J6" s="338">
        <v>1</v>
      </c>
      <c r="K6" s="338">
        <v>1</v>
      </c>
      <c r="L6" s="338">
        <v>1</v>
      </c>
      <c r="M6" s="40">
        <v>10</v>
      </c>
      <c r="N6" s="338"/>
      <c r="O6" s="338"/>
      <c r="P6" s="338"/>
      <c r="Q6" s="338"/>
      <c r="R6" s="338"/>
      <c r="S6" s="338"/>
      <c r="T6" s="338"/>
      <c r="U6" s="338"/>
      <c r="V6" s="338"/>
      <c r="W6" s="338"/>
      <c r="X6" s="338"/>
    </row>
    <row r="7" spans="1:24" x14ac:dyDescent="0.15">
      <c r="A7" s="338" t="str">
        <f>CONCATENATE(A5,"unit")</f>
        <v>TM002unit</v>
      </c>
      <c r="B7" s="40" t="s">
        <v>3</v>
      </c>
      <c r="C7" s="40" t="s">
        <v>3</v>
      </c>
      <c r="D7" s="338" t="s">
        <v>37</v>
      </c>
      <c r="E7" s="40" t="s">
        <v>3</v>
      </c>
      <c r="F7" s="353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281</v>
      </c>
      <c r="N7" s="338"/>
      <c r="O7" s="338"/>
      <c r="P7" s="338"/>
      <c r="Q7" s="338"/>
      <c r="R7" s="338"/>
      <c r="S7" s="338"/>
      <c r="T7" s="338"/>
      <c r="U7" s="338"/>
      <c r="V7" s="338"/>
      <c r="W7" s="338"/>
      <c r="X7" s="338"/>
    </row>
    <row r="9" spans="1:24" x14ac:dyDescent="0.15">
      <c r="A9" s="340"/>
      <c r="H9" s="341"/>
    </row>
    <row r="10" spans="1:24" x14ac:dyDescent="0.15">
      <c r="H10" s="342"/>
    </row>
    <row r="11" spans="1:24" x14ac:dyDescent="0.15">
      <c r="G11" s="342"/>
    </row>
    <row r="13" spans="1:24" x14ac:dyDescent="0.15">
      <c r="A13" s="340"/>
      <c r="E13" s="341"/>
      <c r="G13" s="341"/>
      <c r="H13" s="341"/>
    </row>
    <row r="14" spans="1:24" x14ac:dyDescent="0.15">
      <c r="E14" s="342"/>
    </row>
    <row r="17" spans="1:9" x14ac:dyDescent="0.15">
      <c r="A17" s="340"/>
      <c r="E17" s="341"/>
      <c r="G17" s="341"/>
    </row>
    <row r="18" spans="1:9" x14ac:dyDescent="0.15">
      <c r="E18" s="342"/>
    </row>
    <row r="21" spans="1:9" x14ac:dyDescent="0.15">
      <c r="A21" s="340"/>
      <c r="E21" s="341"/>
      <c r="G21" s="341"/>
    </row>
    <row r="22" spans="1:9" x14ac:dyDescent="0.15">
      <c r="E22" s="342"/>
    </row>
    <row r="25" spans="1:9" x14ac:dyDescent="0.15">
      <c r="A25" s="340"/>
      <c r="E25" s="341"/>
      <c r="G25" s="341"/>
    </row>
    <row r="26" spans="1:9" x14ac:dyDescent="0.15">
      <c r="E26" s="342"/>
    </row>
    <row r="29" spans="1:9" x14ac:dyDescent="0.15">
      <c r="A29" s="340"/>
      <c r="E29" s="343"/>
      <c r="F29" s="349"/>
      <c r="H29" s="341"/>
      <c r="I29" s="341"/>
    </row>
    <row r="30" spans="1:9" x14ac:dyDescent="0.15">
      <c r="E30" s="40"/>
      <c r="H30" s="40"/>
    </row>
    <row r="31" spans="1:9" x14ac:dyDescent="0.15">
      <c r="E31" s="40"/>
      <c r="F31" s="349"/>
      <c r="G31" s="40"/>
    </row>
    <row r="33" spans="1:19" ht="14" x14ac:dyDescent="0.2">
      <c r="A33" s="340"/>
      <c r="E33" s="343"/>
      <c r="F33" s="349"/>
      <c r="I33" s="341"/>
      <c r="J33" s="341"/>
      <c r="K33" s="344"/>
      <c r="L33" s="345"/>
      <c r="M33" s="345"/>
      <c r="N33" s="345"/>
      <c r="O33" s="345"/>
      <c r="P33" s="345"/>
      <c r="Q33" s="345"/>
      <c r="R33" s="346"/>
      <c r="S33" s="345"/>
    </row>
    <row r="34" spans="1:19" ht="14" x14ac:dyDescent="0.2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4" x14ac:dyDescent="0.2">
      <c r="E35" s="40"/>
      <c r="F35" s="349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4" x14ac:dyDescent="0.2">
      <c r="E37" s="42"/>
      <c r="F37" s="350"/>
    </row>
    <row r="39" spans="1:19" x14ac:dyDescent="0.15">
      <c r="B39" s="347"/>
      <c r="C39" s="347"/>
      <c r="D39" s="347"/>
      <c r="E39" s="48"/>
      <c r="F39" s="351"/>
    </row>
    <row r="40" spans="1:19" x14ac:dyDescent="0.15">
      <c r="B40" s="347"/>
      <c r="C40" s="347"/>
      <c r="D40" s="347"/>
      <c r="E40" s="48"/>
      <c r="F40" s="351"/>
    </row>
    <row r="41" spans="1:19" x14ac:dyDescent="0.15">
      <c r="B41" s="347"/>
      <c r="C41" s="347"/>
      <c r="D41" s="347"/>
      <c r="E41" s="48"/>
      <c r="F41" s="351"/>
    </row>
    <row r="42" spans="1:19" x14ac:dyDescent="0.15">
      <c r="B42" s="347"/>
      <c r="C42" s="347"/>
      <c r="D42" s="347"/>
      <c r="E42" s="48"/>
      <c r="F42" s="351"/>
    </row>
    <row r="43" spans="1:19" x14ac:dyDescent="0.15">
      <c r="B43" s="347"/>
      <c r="C43" s="347"/>
      <c r="D43" s="347"/>
      <c r="E43" s="48"/>
      <c r="F43" s="351"/>
    </row>
    <row r="44" spans="1:19" x14ac:dyDescent="0.15">
      <c r="B44" s="347"/>
      <c r="C44" s="347"/>
      <c r="D44" s="347"/>
      <c r="E44" s="48"/>
      <c r="F44" s="351"/>
    </row>
    <row r="46" spans="1:19" x14ac:dyDescent="0.15">
      <c r="A46" s="340"/>
      <c r="E46" s="341"/>
      <c r="G46" s="341"/>
    </row>
    <row r="47" spans="1:19" x14ac:dyDescent="0.15">
      <c r="E47" s="40"/>
    </row>
    <row r="50" spans="1:15" x14ac:dyDescent="0.15">
      <c r="A50" s="340"/>
      <c r="E50" s="341"/>
      <c r="G50" s="343"/>
      <c r="H50" s="341"/>
    </row>
    <row r="51" spans="1:15" x14ac:dyDescent="0.15">
      <c r="E51" s="40"/>
    </row>
    <row r="52" spans="1:15" x14ac:dyDescent="0.15">
      <c r="G52" s="40"/>
    </row>
    <row r="54" spans="1:15" x14ac:dyDescent="0.15">
      <c r="A54" s="340"/>
      <c r="E54" s="341"/>
      <c r="G54" s="343"/>
      <c r="H54" s="40"/>
      <c r="I54" s="40"/>
      <c r="J54" s="341"/>
    </row>
    <row r="55" spans="1:15" x14ac:dyDescent="0.15">
      <c r="E55" s="40"/>
    </row>
    <row r="56" spans="1:15" x14ac:dyDescent="0.15">
      <c r="G56" s="40"/>
      <c r="H56" s="40"/>
      <c r="I56" s="40"/>
    </row>
    <row r="58" spans="1:15" x14ac:dyDescent="0.15">
      <c r="A58" s="340"/>
      <c r="E58" s="341"/>
      <c r="G58" s="343"/>
      <c r="H58" s="40"/>
      <c r="I58" s="40"/>
      <c r="L58" s="40"/>
      <c r="M58" s="40"/>
      <c r="N58" s="40"/>
      <c r="O58" s="341"/>
    </row>
    <row r="59" spans="1:15" x14ac:dyDescent="0.15">
      <c r="E59" s="40"/>
      <c r="N59" s="338"/>
      <c r="O59" s="338"/>
    </row>
    <row r="60" spans="1:15" x14ac:dyDescent="0.1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38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15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2" style="334" bestFit="1" customWidth="1"/>
    <col min="2" max="2" width="19.6640625" style="334" customWidth="1"/>
    <col min="3" max="3" width="18.33203125" style="334" bestFit="1" customWidth="1"/>
    <col min="4" max="4" width="11.83203125" style="334" customWidth="1"/>
    <col min="5" max="5" width="12.6640625" style="334" customWidth="1"/>
    <col min="6" max="6" width="16" style="334" customWidth="1"/>
    <col min="7" max="7" width="23.33203125" style="334" customWidth="1"/>
    <col min="8" max="8" width="36.83203125" style="334" customWidth="1"/>
    <col min="9" max="9" width="29.6640625" style="334" customWidth="1"/>
    <col min="10" max="10" width="24" style="334" customWidth="1"/>
    <col min="11" max="16384" width="8.83203125" style="334"/>
  </cols>
  <sheetData>
    <row r="1" spans="1:23" x14ac:dyDescent="0.15">
      <c r="A1" s="340" t="s">
        <v>40</v>
      </c>
      <c r="B1" s="338" t="s">
        <v>38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</row>
    <row r="2" spans="1:23" x14ac:dyDescent="0.15">
      <c r="A2" s="338" t="str">
        <f>CONCATENATE(A1,"conc")</f>
        <v>No Feedconc</v>
      </c>
      <c r="B2" s="364" t="s">
        <v>40</v>
      </c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</row>
    <row r="3" spans="1:23" x14ac:dyDescent="0.15">
      <c r="A3" s="338" t="str">
        <f>CONCATENATE(A1,"unit")</f>
        <v>No Feedunit</v>
      </c>
      <c r="B3" s="354" t="s">
        <v>39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</row>
    <row r="4" spans="1:23" x14ac:dyDescent="0.15">
      <c r="A4" s="338"/>
      <c r="B4" s="338"/>
      <c r="C4" s="338"/>
      <c r="D4" s="338"/>
      <c r="E4" s="338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</row>
    <row r="5" spans="1:23" ht="16" x14ac:dyDescent="0.25">
      <c r="A5" s="340" t="s">
        <v>233</v>
      </c>
      <c r="B5" s="338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38" t="s">
        <v>212</v>
      </c>
      <c r="L5" s="338"/>
      <c r="M5" s="338"/>
      <c r="N5" s="338"/>
      <c r="O5" s="338"/>
      <c r="P5" s="338"/>
      <c r="Q5" s="338"/>
      <c r="R5" s="338"/>
      <c r="S5" s="338"/>
      <c r="T5" s="338"/>
      <c r="U5" s="338"/>
      <c r="V5" s="338"/>
      <c r="W5" s="338"/>
    </row>
    <row r="6" spans="1:23" x14ac:dyDescent="0.15">
      <c r="A6" s="338" t="str">
        <f>CONCATENATE(A5,"conc")</f>
        <v>FM001conc</v>
      </c>
      <c r="B6" s="354">
        <v>500</v>
      </c>
      <c r="C6" s="40">
        <v>20</v>
      </c>
      <c r="D6" s="338">
        <v>4</v>
      </c>
      <c r="E6" s="338">
        <v>10</v>
      </c>
      <c r="F6" s="338">
        <v>5</v>
      </c>
      <c r="G6" s="338">
        <v>2</v>
      </c>
      <c r="H6" s="338">
        <v>1</v>
      </c>
      <c r="I6" s="338">
        <v>1</v>
      </c>
      <c r="J6" s="338">
        <v>1</v>
      </c>
      <c r="K6" s="338">
        <v>80</v>
      </c>
      <c r="L6" s="338"/>
      <c r="M6" s="338"/>
      <c r="N6" s="338"/>
      <c r="O6" s="338"/>
      <c r="P6" s="338"/>
      <c r="Q6" s="338"/>
      <c r="R6" s="338"/>
      <c r="S6" s="338"/>
      <c r="T6" s="338"/>
      <c r="U6" s="338"/>
      <c r="V6" s="338"/>
      <c r="W6" s="338"/>
    </row>
    <row r="7" spans="1:23" ht="14" x14ac:dyDescent="0.2">
      <c r="A7" s="338" t="str">
        <f>CONCATENATE(A5,"unit")</f>
        <v>FM001unit</v>
      </c>
      <c r="B7" s="338" t="s">
        <v>3</v>
      </c>
      <c r="C7" s="338" t="s">
        <v>3</v>
      </c>
      <c r="D7" s="338" t="s">
        <v>3</v>
      </c>
      <c r="E7" s="338" t="s">
        <v>3</v>
      </c>
      <c r="F7" s="338" t="s">
        <v>3</v>
      </c>
      <c r="G7" s="338" t="s">
        <v>211</v>
      </c>
      <c r="H7" s="338" t="s">
        <v>211</v>
      </c>
      <c r="I7" s="338" t="s">
        <v>211</v>
      </c>
      <c r="J7" s="338" t="s">
        <v>211</v>
      </c>
      <c r="K7" s="40" t="s">
        <v>213</v>
      </c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8"/>
      <c r="W7" s="338"/>
    </row>
    <row r="9" spans="1:23" x14ac:dyDescent="0.15">
      <c r="A9" s="340"/>
      <c r="B9" s="338"/>
      <c r="C9" s="341"/>
    </row>
    <row r="10" spans="1:23" x14ac:dyDescent="0.15">
      <c r="A10" s="338"/>
      <c r="B10" s="338"/>
      <c r="C10" s="40"/>
    </row>
    <row r="11" spans="1:23" x14ac:dyDescent="0.15">
      <c r="A11" s="338"/>
      <c r="B11" s="338"/>
      <c r="C11" s="338"/>
    </row>
    <row r="13" spans="1:23" x14ac:dyDescent="0.15">
      <c r="A13" s="340"/>
      <c r="B13" s="338"/>
      <c r="C13" s="341"/>
    </row>
    <row r="14" spans="1:23" x14ac:dyDescent="0.15">
      <c r="A14" s="338"/>
      <c r="B14" s="338"/>
      <c r="C14" s="40"/>
    </row>
    <row r="15" spans="1:23" x14ac:dyDescent="0.15">
      <c r="A15" s="338"/>
      <c r="B15" s="338"/>
      <c r="C15" s="338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4"/>
  <sheetViews>
    <sheetView workbookViewId="0">
      <selection activeCell="G26" sqref="G26"/>
    </sheetView>
  </sheetViews>
  <sheetFormatPr baseColWidth="10" defaultColWidth="8.83203125" defaultRowHeight="13" x14ac:dyDescent="0.15"/>
  <cols>
    <col min="1" max="3" width="8.83203125" style="334"/>
    <col min="4" max="4" width="17.33203125" style="334" customWidth="1"/>
    <col min="5" max="16384" width="8.83203125" style="334"/>
  </cols>
  <sheetData>
    <row r="1" spans="1:4" x14ac:dyDescent="0.15">
      <c r="D1" s="335" t="s">
        <v>237</v>
      </c>
    </row>
    <row r="2" spans="1:4" x14ac:dyDescent="0.15">
      <c r="A2" s="336" t="s">
        <v>47</v>
      </c>
      <c r="B2" s="337">
        <v>0.3</v>
      </c>
      <c r="C2" s="337">
        <v>2.2999999999999998</v>
      </c>
      <c r="D2" s="334">
        <v>0</v>
      </c>
    </row>
    <row r="3" spans="1:4" x14ac:dyDescent="0.15">
      <c r="A3" s="338" t="str">
        <f>CONCATENATE(A2,"t")</f>
        <v>Feed001t</v>
      </c>
      <c r="B3" s="339">
        <v>0</v>
      </c>
      <c r="C3" s="337">
        <v>77</v>
      </c>
    </row>
    <row r="4" spans="1:4" x14ac:dyDescent="0.15">
      <c r="B4" s="337"/>
      <c r="C4" s="337"/>
    </row>
    <row r="5" spans="1:4" x14ac:dyDescent="0.15">
      <c r="A5" s="336" t="s">
        <v>58</v>
      </c>
      <c r="B5" s="337">
        <v>0.3</v>
      </c>
      <c r="C5" s="337">
        <v>14.1</v>
      </c>
      <c r="D5" s="334">
        <v>0.05</v>
      </c>
    </row>
    <row r="6" spans="1:4" x14ac:dyDescent="0.15">
      <c r="A6" s="338" t="str">
        <f>CONCATENATE(A5,"t")</f>
        <v>Feed002t</v>
      </c>
      <c r="B6" s="339">
        <v>0</v>
      </c>
      <c r="C6" s="337">
        <v>77</v>
      </c>
    </row>
    <row r="8" spans="1:4" x14ac:dyDescent="0.15">
      <c r="A8" s="336" t="s">
        <v>241</v>
      </c>
      <c r="B8" s="337">
        <v>1.3</v>
      </c>
      <c r="C8" s="337">
        <v>1.3</v>
      </c>
      <c r="D8" s="334">
        <v>0</v>
      </c>
    </row>
    <row r="9" spans="1:4" x14ac:dyDescent="0.15">
      <c r="A9" s="338" t="str">
        <f>CONCATENATE(A8,"t")</f>
        <v>Feed003t</v>
      </c>
      <c r="B9" s="339">
        <v>0</v>
      </c>
      <c r="C9" s="337">
        <v>77</v>
      </c>
    </row>
    <row r="11" spans="1:4" x14ac:dyDescent="0.15">
      <c r="A11" s="336" t="s">
        <v>279</v>
      </c>
      <c r="B11" s="334">
        <v>0</v>
      </c>
      <c r="C11" s="334">
        <v>0</v>
      </c>
      <c r="D11" s="334">
        <v>0</v>
      </c>
    </row>
    <row r="12" spans="1:4" x14ac:dyDescent="0.15">
      <c r="A12" s="338" t="str">
        <f>CONCATENATE(A11,"t")</f>
        <v>Feed004t</v>
      </c>
      <c r="B12" s="334">
        <v>0</v>
      </c>
      <c r="C12" s="334">
        <v>77</v>
      </c>
    </row>
    <row r="23" spans="1:5" x14ac:dyDescent="0.15">
      <c r="B23" s="335"/>
      <c r="C23" s="335"/>
      <c r="E23" s="335"/>
    </row>
    <row r="24" spans="1:5" x14ac:dyDescent="0.15">
      <c r="A24" s="338"/>
      <c r="B24" s="335"/>
      <c r="C24" s="335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5"/>
  <sheetViews>
    <sheetView workbookViewId="0">
      <selection activeCell="K44" sqref="K44"/>
    </sheetView>
  </sheetViews>
  <sheetFormatPr baseColWidth="10" defaultColWidth="8.83203125" defaultRowHeight="13" x14ac:dyDescent="0.15"/>
  <cols>
    <col min="1" max="16384" width="8.83203125" style="334"/>
  </cols>
  <sheetData>
    <row r="1" spans="1:3" x14ac:dyDescent="0.15">
      <c r="A1" s="336" t="s">
        <v>29</v>
      </c>
      <c r="B1" s="334">
        <v>37</v>
      </c>
      <c r="C1" s="334">
        <v>37</v>
      </c>
    </row>
    <row r="2" spans="1:3" x14ac:dyDescent="0.15">
      <c r="A2" s="338" t="str">
        <f>CONCATENATE(A1,"t")</f>
        <v>Temp001t</v>
      </c>
      <c r="B2" s="334">
        <v>0</v>
      </c>
      <c r="C2" s="334">
        <v>100</v>
      </c>
    </row>
    <row r="4" spans="1:3" x14ac:dyDescent="0.15">
      <c r="A4" s="336" t="s">
        <v>55</v>
      </c>
    </row>
    <row r="5" spans="1:3" x14ac:dyDescent="0.15">
      <c r="A5" s="338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1"/>
  <sheetViews>
    <sheetView workbookViewId="0">
      <selection activeCell="D35" sqref="D35"/>
    </sheetView>
  </sheetViews>
  <sheetFormatPr baseColWidth="10" defaultColWidth="8.83203125" defaultRowHeight="13" x14ac:dyDescent="0.15"/>
  <cols>
    <col min="1" max="1" width="16.1640625" customWidth="1"/>
    <col min="2" max="2" width="16.6640625" customWidth="1"/>
    <col min="3" max="3" width="14.83203125" customWidth="1"/>
    <col min="4" max="4" width="13.33203125" customWidth="1"/>
    <col min="5" max="5" width="11.33203125" customWidth="1"/>
    <col min="6" max="6" width="13.83203125" customWidth="1"/>
  </cols>
  <sheetData>
    <row r="1" spans="1:8" x14ac:dyDescent="0.15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1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1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1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15">
      <c r="A5" s="9" t="s">
        <v>282</v>
      </c>
      <c r="B5" s="9" t="s">
        <v>197</v>
      </c>
      <c r="C5" s="9" t="s">
        <v>40</v>
      </c>
      <c r="D5" s="9" t="s">
        <v>279</v>
      </c>
      <c r="E5" s="9" t="s">
        <v>28</v>
      </c>
      <c r="F5" s="9" t="s">
        <v>29</v>
      </c>
      <c r="G5" s="9" t="s">
        <v>275</v>
      </c>
      <c r="H5" s="9" t="s">
        <v>193</v>
      </c>
    </row>
    <row r="6" spans="1:8" x14ac:dyDescent="0.15">
      <c r="A6" s="9"/>
      <c r="B6" s="9"/>
      <c r="C6" s="9"/>
      <c r="D6" s="9"/>
      <c r="E6" s="9"/>
      <c r="F6" s="9"/>
      <c r="G6" s="9"/>
    </row>
    <row r="7" spans="1:8" x14ac:dyDescent="0.15">
      <c r="A7" s="9"/>
      <c r="B7" s="9"/>
      <c r="C7" s="9"/>
      <c r="D7" s="9"/>
      <c r="E7" s="9"/>
      <c r="F7" s="9"/>
      <c r="G7" s="9"/>
    </row>
    <row r="8" spans="1:8" x14ac:dyDescent="0.15">
      <c r="A8" s="9"/>
      <c r="B8" s="9"/>
      <c r="C8" s="9"/>
      <c r="D8" s="9"/>
      <c r="E8" s="9"/>
      <c r="F8" s="9"/>
      <c r="G8" s="9"/>
    </row>
    <row r="9" spans="1:8" x14ac:dyDescent="0.15">
      <c r="A9" s="9"/>
      <c r="B9" s="9"/>
      <c r="C9" s="9"/>
      <c r="D9" s="9"/>
      <c r="E9" s="9"/>
      <c r="F9" s="9"/>
      <c r="G9" s="9"/>
    </row>
    <row r="10" spans="1:8" x14ac:dyDescent="0.15">
      <c r="A10" s="9"/>
      <c r="B10" s="9"/>
      <c r="C10" s="9"/>
      <c r="D10" s="9"/>
      <c r="E10" s="9"/>
      <c r="F10" s="9"/>
      <c r="G10" s="9"/>
    </row>
    <row r="11" spans="1:8" x14ac:dyDescent="0.15">
      <c r="A11" s="9"/>
      <c r="B11" s="9"/>
      <c r="C11" s="9"/>
      <c r="D11" s="9"/>
      <c r="E11" s="9"/>
      <c r="F11" s="9"/>
      <c r="G11" s="9"/>
    </row>
    <row r="12" spans="1:8" x14ac:dyDescent="0.15">
      <c r="A12" s="9"/>
      <c r="B12" s="9"/>
      <c r="C12" s="9"/>
      <c r="D12" s="9"/>
      <c r="E12" s="9"/>
      <c r="F12" s="9"/>
      <c r="G12" s="9"/>
    </row>
    <row r="13" spans="1:8" x14ac:dyDescent="0.15">
      <c r="A13" s="9"/>
      <c r="B13" s="9"/>
      <c r="C13" s="9"/>
      <c r="D13" s="9"/>
      <c r="E13" s="9"/>
      <c r="F13" s="9"/>
      <c r="G13" s="9"/>
    </row>
    <row r="14" spans="1:8" x14ac:dyDescent="0.15">
      <c r="A14" s="9"/>
      <c r="B14" s="9"/>
      <c r="C14" s="9"/>
      <c r="D14" s="9"/>
      <c r="E14" s="9"/>
      <c r="F14" s="9"/>
      <c r="G14" s="9"/>
    </row>
    <row r="15" spans="1:8" x14ac:dyDescent="0.15">
      <c r="A15" s="9"/>
      <c r="B15" s="9"/>
      <c r="C15" s="9"/>
      <c r="D15" s="9"/>
      <c r="E15" s="9"/>
      <c r="F15" s="9"/>
      <c r="G15" s="9"/>
    </row>
    <row r="16" spans="1:8" x14ac:dyDescent="0.15">
      <c r="A16" s="9"/>
      <c r="B16" s="9"/>
      <c r="C16" s="9"/>
      <c r="D16" s="9"/>
      <c r="E16" s="9"/>
      <c r="F16" s="9"/>
      <c r="G16" s="9"/>
    </row>
    <row r="17" spans="1:7" x14ac:dyDescent="0.15">
      <c r="A17" s="9"/>
      <c r="B17" s="9"/>
      <c r="C17" s="9"/>
      <c r="D17" s="9"/>
      <c r="E17" s="9"/>
      <c r="F17" s="9"/>
      <c r="G17" s="9"/>
    </row>
    <row r="18" spans="1:7" x14ac:dyDescent="0.15">
      <c r="A18" s="9"/>
      <c r="B18" s="9"/>
      <c r="C18" s="9"/>
      <c r="D18" s="9"/>
      <c r="E18" s="9"/>
      <c r="F18" s="9"/>
      <c r="G18" s="9"/>
    </row>
    <row r="19" spans="1:7" x14ac:dyDescent="0.15">
      <c r="A19" s="9"/>
      <c r="B19" s="9"/>
      <c r="C19" s="9"/>
      <c r="D19" s="9"/>
      <c r="E19" s="9"/>
      <c r="F19" s="9"/>
      <c r="G19" s="9"/>
    </row>
    <row r="20" spans="1:7" x14ac:dyDescent="0.15">
      <c r="A20" s="9"/>
      <c r="B20" s="9"/>
      <c r="C20" s="9"/>
      <c r="D20" s="9"/>
      <c r="E20" s="9"/>
      <c r="F20" s="9"/>
      <c r="G20" s="9"/>
    </row>
    <row r="21" spans="1:7" x14ac:dyDescent="0.1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4"/>
  <sheetViews>
    <sheetView workbookViewId="0">
      <selection sqref="A1:XFD1048576"/>
    </sheetView>
  </sheetViews>
  <sheetFormatPr baseColWidth="10" defaultColWidth="8.83203125" defaultRowHeight="13" x14ac:dyDescent="0.15"/>
  <cols>
    <col min="1" max="16384" width="8.83203125" style="334"/>
  </cols>
  <sheetData>
    <row r="1" spans="1:3" x14ac:dyDescent="0.15">
      <c r="A1" s="336" t="s">
        <v>28</v>
      </c>
      <c r="B1" s="337">
        <v>7</v>
      </c>
      <c r="C1" s="337">
        <v>7</v>
      </c>
    </row>
    <row r="2" spans="1:3" x14ac:dyDescent="0.15">
      <c r="A2" s="338" t="str">
        <f>CONCATENATE(A1,"t")</f>
        <v>pH001t</v>
      </c>
      <c r="B2" s="337">
        <v>0</v>
      </c>
      <c r="C2" s="337">
        <v>100</v>
      </c>
    </row>
    <row r="3" spans="1:3" x14ac:dyDescent="0.15">
      <c r="B3" s="337"/>
      <c r="C3" s="337"/>
    </row>
    <row r="4" spans="1:3" x14ac:dyDescent="0.15">
      <c r="B4" s="337"/>
      <c r="C4" s="337"/>
    </row>
    <row r="5" spans="1:3" x14ac:dyDescent="0.15">
      <c r="A5" s="338"/>
      <c r="B5" s="337"/>
      <c r="C5" s="337"/>
    </row>
    <row r="6" spans="1:3" x14ac:dyDescent="0.15">
      <c r="B6" s="337"/>
      <c r="C6" s="337"/>
    </row>
    <row r="7" spans="1:3" x14ac:dyDescent="0.15">
      <c r="A7" s="335"/>
      <c r="B7" s="337"/>
      <c r="C7" s="337"/>
    </row>
    <row r="8" spans="1:3" x14ac:dyDescent="0.15">
      <c r="A8" s="338"/>
      <c r="B8" s="337"/>
      <c r="C8" s="337"/>
    </row>
    <row r="9" spans="1:3" x14ac:dyDescent="0.15">
      <c r="B9" s="337"/>
      <c r="C9" s="337"/>
    </row>
    <row r="10" spans="1:3" x14ac:dyDescent="0.15">
      <c r="A10" s="335"/>
      <c r="B10" s="337"/>
      <c r="C10" s="337"/>
    </row>
    <row r="11" spans="1:3" x14ac:dyDescent="0.15">
      <c r="B11" s="337"/>
      <c r="C11" s="337"/>
    </row>
    <row r="12" spans="1:3" x14ac:dyDescent="0.15">
      <c r="B12" s="337"/>
      <c r="C12" s="337"/>
    </row>
    <row r="13" spans="1:3" x14ac:dyDescent="0.15">
      <c r="B13" s="337"/>
      <c r="C13" s="337"/>
    </row>
    <row r="14" spans="1:3" x14ac:dyDescent="0.15">
      <c r="A14" s="338"/>
      <c r="B14" s="337"/>
      <c r="C14" s="337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1"/>
  <sheetViews>
    <sheetView workbookViewId="0">
      <selection activeCell="I16" sqref="I16"/>
    </sheetView>
  </sheetViews>
  <sheetFormatPr baseColWidth="10" defaultColWidth="8.83203125" defaultRowHeight="13" x14ac:dyDescent="0.15"/>
  <sheetData>
    <row r="1" spans="1:3" x14ac:dyDescent="0.15">
      <c r="A1" t="s">
        <v>28</v>
      </c>
      <c r="B1" s="50" t="s">
        <v>62</v>
      </c>
      <c r="C1" s="50" t="s">
        <v>62</v>
      </c>
    </row>
    <row r="2" spans="1:3" x14ac:dyDescent="0.15">
      <c r="A2" t="str">
        <f>CONCATENATE(A1,"t")</f>
        <v>pH001t</v>
      </c>
      <c r="B2" s="49">
        <v>0</v>
      </c>
      <c r="C2" s="49">
        <v>96</v>
      </c>
    </row>
    <row r="3" spans="1:3" x14ac:dyDescent="0.15">
      <c r="B3" s="49"/>
      <c r="C3" s="49"/>
    </row>
    <row r="4" spans="1:3" x14ac:dyDescent="0.15">
      <c r="A4" t="s">
        <v>53</v>
      </c>
      <c r="B4" s="50" t="s">
        <v>63</v>
      </c>
      <c r="C4" s="50" t="s">
        <v>63</v>
      </c>
    </row>
    <row r="5" spans="1:3" x14ac:dyDescent="0.15">
      <c r="A5" t="str">
        <f>CONCATENATE(A4,"t")</f>
        <v>pH002t</v>
      </c>
      <c r="B5" s="49">
        <v>0</v>
      </c>
      <c r="C5" s="49">
        <v>96</v>
      </c>
    </row>
    <row r="6" spans="1:3" x14ac:dyDescent="0.15">
      <c r="B6" s="49"/>
      <c r="C6" s="49"/>
    </row>
    <row r="7" spans="1:3" x14ac:dyDescent="0.15">
      <c r="A7" s="9" t="s">
        <v>54</v>
      </c>
      <c r="B7" s="50" t="s">
        <v>61</v>
      </c>
      <c r="C7" s="50" t="s">
        <v>61</v>
      </c>
    </row>
    <row r="8" spans="1:3" x14ac:dyDescent="0.15">
      <c r="A8" t="str">
        <f>CONCATENATE(A7,"t")</f>
        <v>pH003t</v>
      </c>
      <c r="B8" s="49">
        <v>0</v>
      </c>
      <c r="C8" s="49">
        <v>96</v>
      </c>
    </row>
    <row r="9" spans="1:3" x14ac:dyDescent="0.15">
      <c r="B9" s="49"/>
      <c r="C9" s="49"/>
    </row>
    <row r="10" spans="1:3" x14ac:dyDescent="0.15">
      <c r="A10" s="9" t="s">
        <v>60</v>
      </c>
      <c r="B10" s="50" t="s">
        <v>64</v>
      </c>
      <c r="C10" s="50" t="s">
        <v>64</v>
      </c>
    </row>
    <row r="11" spans="1:3" x14ac:dyDescent="0.1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baseColWidth="10" defaultColWidth="8.83203125" defaultRowHeight="16" x14ac:dyDescent="0.2"/>
  <cols>
    <col min="1" max="1" width="81.33203125" style="64" bestFit="1" customWidth="1"/>
    <col min="2" max="2" width="11.33203125" style="64" bestFit="1" customWidth="1"/>
    <col min="3" max="3" width="19.33203125" style="64" bestFit="1" customWidth="1"/>
    <col min="4" max="4" width="26.33203125" style="64" bestFit="1" customWidth="1"/>
    <col min="5" max="5" width="27.6640625" style="64" customWidth="1"/>
    <col min="6" max="6" width="12" style="64" bestFit="1" customWidth="1"/>
    <col min="7" max="7" width="12.6640625" style="64" customWidth="1"/>
    <col min="8" max="8" width="13" style="64" bestFit="1" customWidth="1"/>
    <col min="9" max="9" width="8.83203125" style="64"/>
    <col min="10" max="10" width="10.33203125" style="64" bestFit="1" customWidth="1"/>
    <col min="11" max="11" width="31.6640625" style="64" customWidth="1"/>
    <col min="12" max="12" width="19.6640625" style="64" customWidth="1"/>
    <col min="13" max="13" width="10.33203125" style="64" bestFit="1" customWidth="1"/>
    <col min="14" max="14" width="23.1640625" style="64" bestFit="1" customWidth="1"/>
    <col min="15" max="17" width="8.83203125" style="64"/>
    <col min="18" max="18" width="10.33203125" style="64" bestFit="1" customWidth="1"/>
    <col min="19" max="19" width="30.33203125" style="64" bestFit="1" customWidth="1"/>
    <col min="20" max="20" width="42.33203125" style="64" customWidth="1"/>
    <col min="21" max="21" width="20.6640625" style="64" bestFit="1" customWidth="1"/>
    <col min="22" max="22" width="23.1640625" style="64" bestFit="1" customWidth="1"/>
    <col min="23" max="23" width="22.33203125" style="64" bestFit="1" customWidth="1"/>
    <col min="24" max="25" width="8.83203125" style="64"/>
    <col min="26" max="28" width="8.83203125" style="66"/>
    <col min="29" max="29" width="34" style="66" customWidth="1"/>
    <col min="30" max="30" width="21.6640625" style="66" bestFit="1" customWidth="1"/>
    <col min="31" max="35" width="8.83203125" style="66"/>
    <col min="36" max="37" width="13.33203125" style="64" customWidth="1"/>
    <col min="38" max="38" width="34" style="64" bestFit="1" customWidth="1"/>
    <col min="39" max="39" width="21.6640625" style="64" bestFit="1" customWidth="1"/>
    <col min="40" max="43" width="8.83203125" style="64"/>
    <col min="44" max="44" width="16" style="64" customWidth="1"/>
    <col min="45" max="45" width="9.1640625" style="64" customWidth="1"/>
    <col min="46" max="46" width="8.83203125" style="64"/>
    <col min="47" max="47" width="34" style="64" bestFit="1" customWidth="1"/>
    <col min="48" max="48" width="21.6640625" style="64" bestFit="1" customWidth="1"/>
    <col min="49" max="1027" width="8.83203125" style="64"/>
    <col min="1028" max="16384" width="8.83203125" style="65"/>
  </cols>
  <sheetData>
    <row r="1" spans="1:46 1028:1029" x14ac:dyDescent="0.2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2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2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2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2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2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2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2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2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2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2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2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2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2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2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2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2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2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7" thickBot="1" x14ac:dyDescent="0.25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7" thickTop="1" x14ac:dyDescent="0.2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2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2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2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7" thickBot="1" x14ac:dyDescent="0.25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7" thickBot="1" x14ac:dyDescent="0.25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2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2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2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2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2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2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2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2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2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2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2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7" thickBot="1" x14ac:dyDescent="0.25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7" thickBot="1" x14ac:dyDescent="0.25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2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2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2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2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2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7" thickBot="1" x14ac:dyDescent="0.25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7" thickBot="1" x14ac:dyDescent="0.25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2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2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2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7" thickBot="1" x14ac:dyDescent="0.25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7" thickBot="1" x14ac:dyDescent="0.25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2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2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2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7" thickBot="1" x14ac:dyDescent="0.25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7" thickBot="1" x14ac:dyDescent="0.25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2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2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2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7" thickBot="1" x14ac:dyDescent="0.25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7" thickBot="1" x14ac:dyDescent="0.25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2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2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2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7" thickBot="1" x14ac:dyDescent="0.25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7" thickBot="1" x14ac:dyDescent="0.25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2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2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2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7" thickBot="1" x14ac:dyDescent="0.25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7" thickBot="1" x14ac:dyDescent="0.25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2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2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2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7" thickBot="1" x14ac:dyDescent="0.25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7" thickBot="1" x14ac:dyDescent="0.25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2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2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2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7" thickBot="1" x14ac:dyDescent="0.25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7" thickBot="1" x14ac:dyDescent="0.25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2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2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2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2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2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2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2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2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2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2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2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2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7" thickBot="1" x14ac:dyDescent="0.25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7" thickBot="1" x14ac:dyDescent="0.25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7" thickBot="1" x14ac:dyDescent="0.25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7" thickBot="1" x14ac:dyDescent="0.25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7" thickBot="1" x14ac:dyDescent="0.25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2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2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2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7" thickBot="1" x14ac:dyDescent="0.25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7" thickBot="1" x14ac:dyDescent="0.25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7" thickBot="1" x14ac:dyDescent="0.25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7" thickBot="1" x14ac:dyDescent="0.25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7" thickBot="1" x14ac:dyDescent="0.25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2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7" thickBot="1" x14ac:dyDescent="0.25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2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7" thickBot="1" x14ac:dyDescent="0.25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D5758A-0AB6-4591-BD39-A3D4191177BF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Microsoft Office User</cp:lastModifiedBy>
  <cp:lastPrinted>2012-07-09T11:01:11Z</cp:lastPrinted>
  <dcterms:created xsi:type="dcterms:W3CDTF">2007-11-28T20:52:02Z</dcterms:created>
  <dcterms:modified xsi:type="dcterms:W3CDTF">2018-05-09T12:48:13Z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